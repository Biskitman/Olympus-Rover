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D3809AD0-0376-4727-8DFC-B9AC04A51D16}" xr6:coauthVersionLast="44" xr6:coauthVersionMax="45" xr10:uidLastSave="{00000000-0000-0000-0000-000000000000}"/>
  <bookViews>
    <workbookView xWindow="-120" yWindow="-120" windowWidth="29040" windowHeight="15840" activeTab="1" xr2:uid="{88AF037D-3764-4DB2-B167-F9A5ED4FF2E7}"/>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5" i="1" l="1"/>
  <c r="E4" i="1" l="1"/>
  <c r="E5" i="1"/>
  <c r="E6" i="1"/>
  <c r="E7" i="1"/>
  <c r="E8" i="1"/>
  <c r="E9" i="1"/>
  <c r="E10" i="1"/>
  <c r="E11" i="1"/>
  <c r="E12" i="1"/>
  <c r="E13" i="1"/>
  <c r="E14" i="1"/>
  <c r="E3" i="1"/>
  <c r="C17" i="1"/>
  <c r="E17" i="1"/>
</calcChain>
</file>

<file path=xl/sharedStrings.xml><?xml version="1.0" encoding="utf-8"?>
<sst xmlns="http://schemas.openxmlformats.org/spreadsheetml/2006/main" count="93" uniqueCount="89">
  <si>
    <t>Part</t>
  </si>
  <si>
    <t>Price</t>
  </si>
  <si>
    <t>Amount Needed</t>
  </si>
  <si>
    <t>Total</t>
  </si>
  <si>
    <t>Link</t>
  </si>
  <si>
    <t>Purpose &amp; Justification</t>
  </si>
  <si>
    <t>Raspberry Pi 4 (4GB model B)</t>
  </si>
  <si>
    <t>https://thepihut.com/products/raspberry-pi-4-model-b?variant=20064052740158&amp;src=raspberrypi</t>
  </si>
  <si>
    <t>The Raspberry Pi 4 is the latest and most powerful raspberry pi with integrated wifi. This model will be powerful enough to manage the networking and machine learning we would like to integrate onto the rover, and is capable of running high</t>
  </si>
  <si>
    <t xml:space="preserve">Arduino Nano 33 BLE Module </t>
  </si>
  <si>
    <t>https://uk.rs-online.com/web/p/processor-microcontroller-development-kits/1927587/</t>
  </si>
  <si>
    <t xml:space="preserve">The small form factor and 9-axis intertial sensor on this board is perfect for our project as we have limited space and will need the rover to remain stable. It still has all the pins of a regular-sized arduino and does not require a wifi module as this will be handled by the raspberry pi. </t>
  </si>
  <si>
    <t>Small breadboards (option 1)</t>
  </si>
  <si>
    <t>https://www.amazon.co.uk/ELEGOO-tie-points-Breadboard-Breadboards-Electronic/dp/B01N0YWIR7/ref=sr_1_3?keywords=small+breadboard&amp;qid=1582937568&amp;sr=8-3</t>
  </si>
  <si>
    <t>Space is very limited in this project and we do not require many pins for the extra coponents that will need to connect to the arduino. The size of these also allow us to adjust the spacing of the electronics around the other parts of the rover where position is more fixed. One breadboard will be used for the motors, and one for the sensors. (In the final rover we can solder the components but for prototyping, the breadboards are more suitable)</t>
  </si>
  <si>
    <t>Small breadboards (option 2)</t>
  </si>
  <si>
    <t>https://uk.rs-online.com/web/p/breadboards/6348875/</t>
  </si>
  <si>
    <t>Thin version from RS components, for advantages, see above.</t>
  </si>
  <si>
    <t>Jumper wires</t>
  </si>
  <si>
    <t>https://www.amazon.co.uk/Elegoo-120pcs-Multicolored-Breadboard-arduino-colorful/dp/B01EV70C78/ref=sr_1_3?keywords=jumper+wires&amp;qid=1582938035&amp;sr=8-3</t>
  </si>
  <si>
    <t>Good variety of different wires to use for attatching components within the prototype.</t>
  </si>
  <si>
    <t>Battery</t>
  </si>
  <si>
    <t>https://www.amazon.co.uk/FCONEGY-11-1V-5500mah-Battery-Deans/dp/B07PHST8C3/ref=sr_1_13?crid=2SRYXH6R7G9WI&amp;keywords=lithium%2Bpolymer%2Bbattery%2B11.1v&amp;qid=1583005791&amp;sprefix=lithium%2Bbattery%2B11.1v%2Caps%2C136&amp;sr=8-13&amp;th=1</t>
  </si>
  <si>
    <t>Motors</t>
  </si>
  <si>
    <t>https://www.amazon.co.uk/EsportsMJJ-Teeth-Electric-Motor-Bosch/dp/B075CN3MDL/ref=sr_1_8?crid=386CSQEFC8RRZ&amp;keywords=dc%2Belectric%2Bmotor&amp;qid=1583073557&amp;s=home-garden&amp;sprefix=dc%2Belec%2Ckitchen%2C130&amp;sr=1-8&amp;th=1</t>
  </si>
  <si>
    <t>Stepper Motors</t>
  </si>
  <si>
    <t>https://www.amazon.co.uk/Kuman-Stepper-arduino-28BYJ-48-Breadboard/dp/B01IP7IOGQ/ref=sr_1_2_sspa?keywords=stepper+motor&amp;qid=1583006820&amp;sr=8-2-spons&amp;psc=1&amp;spLa=ZW5jcnlwdGVkUXVhbGlmaWVyPUEyQkxBTURSNUdFTUJJJmVuY3J5cHRlZElkPUEwODQ0MjI4Tlc1VVQyNzNPOEkxJmVuY3J5cHRlZEFkSWQ9QTA1MDUzMTA1MFBJV0NYV0k5MTMmd2lkZ2V0TmFtZT1zcF9hdGYmYWN0aW9uPWNsaWNrUmVkaXJlY3QmZG9Ob3RMb2dDbGljaz10cnVl</t>
  </si>
  <si>
    <t>Tracks</t>
  </si>
  <si>
    <t>https://www.amazon.co.uk/Baosity-Plastic-Removable-Tracked-Chassis/dp/B07R4GQ32N/ref=sr_1_25?keywords=rubber+tank+tracks&amp;qid=1583072934&amp;sr=8-25</t>
  </si>
  <si>
    <t>Suspension systems</t>
  </si>
  <si>
    <t>Cameras</t>
  </si>
  <si>
    <t>https://thepihut.com/products/raspberry-pi-camera-module?src=raspberrypi</t>
  </si>
  <si>
    <t>Only raspberry pi camera module suitable for livestreaming over wifi due to fast operation and 1080p quality at 30hz with an 8megapixel sensor. Has official raspberry pi camera ribbon connector and support in raspbian, making it easy to use and program with.</t>
  </si>
  <si>
    <t>ultrasonic sensors</t>
  </si>
  <si>
    <t>https://www.amazon.co.uk/ELEGOO-Ultrasonic-Raspberry-Datasheet-Available/dp/B01M0QL1F1/ref=sr_1_2?keywords=HC-SR04&amp;qid=1582941637&amp;sr=8-2</t>
  </si>
  <si>
    <t>Claw</t>
  </si>
  <si>
    <t>https://www.aliexpress.com/item/32860356446.html?spm=a2g0o.productlist.0.0.53a45679fCa5el</t>
  </si>
  <si>
    <t xml:space="preserve"> </t>
  </si>
  <si>
    <t>Weights</t>
  </si>
  <si>
    <t>Max</t>
  </si>
  <si>
    <t>1kg</t>
  </si>
  <si>
    <t>1 for 250, max weight 1kg</t>
  </si>
  <si>
    <t>pi + ardu</t>
  </si>
  <si>
    <t>60g</t>
  </si>
  <si>
    <t>tank treads</t>
  </si>
  <si>
    <t>unlisted, negligable</t>
  </si>
  <si>
    <t>aluminium extrusion</t>
  </si>
  <si>
    <t>20 x 20, 0.5kg per m</t>
  </si>
  <si>
    <t>Weeks</t>
  </si>
  <si>
    <t>March 2th - 8th</t>
  </si>
  <si>
    <t>9th - 15th</t>
  </si>
  <si>
    <t>16th - 22nd</t>
  </si>
  <si>
    <t>23rd - 29th</t>
  </si>
  <si>
    <t>30th - April 5th</t>
  </si>
  <si>
    <t>6th - 12th</t>
  </si>
  <si>
    <t>13th - 19th</t>
  </si>
  <si>
    <t>20th - 26th</t>
  </si>
  <si>
    <t>27th - May 3rd</t>
  </si>
  <si>
    <t>4th - 10th</t>
  </si>
  <si>
    <t>11th - 17th</t>
  </si>
  <si>
    <t>18th - 24th</t>
  </si>
  <si>
    <t>25th - 31st</t>
  </si>
  <si>
    <t>June 1st - 7th</t>
  </si>
  <si>
    <t>8th - 14th</t>
  </si>
  <si>
    <t>15th - 21st</t>
  </si>
  <si>
    <t>29th - July 5th</t>
  </si>
  <si>
    <t>Key Dates</t>
  </si>
  <si>
    <t>March 31st RID &amp; presentation</t>
  </si>
  <si>
    <t>May - Close outstanding RIDs</t>
  </si>
  <si>
    <t>June - TRR &amp; Video</t>
  </si>
  <si>
    <t>Activity</t>
  </si>
  <si>
    <t>Raise Funds</t>
  </si>
  <si>
    <t>Order &amp; Test Parts</t>
  </si>
  <si>
    <t>Reorder Faulty parts</t>
  </si>
  <si>
    <t>Construction</t>
  </si>
  <si>
    <t>Physical/Durability Testing</t>
  </si>
  <si>
    <t>Programming</t>
  </si>
  <si>
    <t>Program/Movement Testing</t>
  </si>
  <si>
    <t>Training/Further Testing</t>
  </si>
  <si>
    <t>Calibration/Tweaking</t>
  </si>
  <si>
    <t>Final Prep for Event</t>
  </si>
  <si>
    <t>Preperation of TRR</t>
  </si>
  <si>
    <t>Key</t>
  </si>
  <si>
    <t>Admin Activities</t>
  </si>
  <si>
    <t>Production</t>
  </si>
  <si>
    <t>Testing</t>
  </si>
  <si>
    <t>Mitigation Time</t>
  </si>
  <si>
    <t>Preparing For RID</t>
  </si>
  <si>
    <t>Planning code/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</si>
</sst>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u/>
      <sz val="11"/>
      <color theme="10"/>
      <name val="Calibri"/>
      <family val="2"/>
      <scheme val="minor"/>
    </font>
    <font>
      <sz val="11"/>
      <color rgb="FFD9534F"/>
      <name val="Calibri"/>
      <family val="2"/>
      <scheme val="minor"/>
    </font>
    <font>
      <sz val="11"/>
      <color rgb="FF878289"/>
      <name val="Calibri"/>
      <family val="2"/>
      <scheme val="minor"/>
    </font>
    <font>
      <b/>
      <sz val="11"/>
      <color theme="1"/>
      <name val="Calibri"/>
      <family val="2"/>
      <scheme val="minor"/>
    </font>
  </fonts>
  <fills count="6">
    <fill>
      <patternFill patternType="none"/>
    </fill>
    <fill>
      <patternFill patternType="gray125"/>
    </fill>
    <fill>
      <patternFill patternType="solid">
        <fgColor rgb="FF878289"/>
        <bgColor indexed="64"/>
      </patternFill>
    </fill>
    <fill>
      <patternFill patternType="solid">
        <fgColor rgb="FFD9534F"/>
        <bgColor indexed="64"/>
      </patternFill>
    </fill>
    <fill>
      <patternFill patternType="solid">
        <fgColor rgb="FF5BC0DE"/>
        <bgColor indexed="64"/>
      </patternFill>
    </fill>
    <fill>
      <patternFill patternType="solid">
        <fgColor rgb="FF5CB85C"/>
        <bgColor indexed="64"/>
      </patternFill>
    </fill>
  </fills>
  <borders count="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1" fillId="0" borderId="0" xfId="1"/>
    <xf numFmtId="164" fontId="0" fillId="0" borderId="0" xfId="0" applyNumberFormat="1"/>
    <xf numFmtId="0" fontId="0" fillId="0" borderId="0" xfId="0" applyAlignment="1">
      <alignment horizontal="right"/>
    </xf>
    <xf numFmtId="0" fontId="0" fillId="4" borderId="0" xfId="0" applyFill="1"/>
    <xf numFmtId="0" fontId="0" fillId="3" borderId="0" xfId="0" applyFill="1"/>
    <xf numFmtId="0" fontId="0" fillId="5" borderId="0" xfId="0" applyFill="1"/>
    <xf numFmtId="0" fontId="3" fillId="2" borderId="0" xfId="0" applyFont="1" applyFill="1"/>
    <xf numFmtId="164" fontId="0" fillId="0" borderId="1" xfId="0" applyNumberFormat="1" applyBorder="1"/>
    <xf numFmtId="0" fontId="0" fillId="0" borderId="1" xfId="0" applyBorder="1"/>
    <xf numFmtId="0" fontId="4" fillId="0" borderId="0" xfId="0" applyFont="1"/>
    <xf numFmtId="164" fontId="4" fillId="0" borderId="0" xfId="0" applyNumberFormat="1" applyFont="1"/>
    <xf numFmtId="0" fontId="0" fillId="0" borderId="2" xfId="0" applyBorder="1"/>
    <xf numFmtId="0" fontId="0" fillId="2" borderId="2" xfId="0" applyFill="1" applyBorder="1"/>
    <xf numFmtId="0" fontId="2" fillId="3" borderId="2" xfId="0" applyFont="1" applyFill="1" applyBorder="1"/>
    <xf numFmtId="0" fontId="0" fillId="3" borderId="2" xfId="0" applyFill="1" applyBorder="1"/>
    <xf numFmtId="0" fontId="0" fillId="0" borderId="2" xfId="0" applyFill="1" applyBorder="1"/>
    <xf numFmtId="0" fontId="0" fillId="5" borderId="2" xfId="0" applyFill="1" applyBorder="1"/>
    <xf numFmtId="0" fontId="0" fillId="4" borderId="2" xfId="0" applyFill="1" applyBorder="1"/>
    <xf numFmtId="0" fontId="0" fillId="0" borderId="0" xfId="0" applyBorder="1"/>
  </cellXfs>
  <cellStyles count="2">
    <cellStyle name="Hyperlink" xfId="1" builtinId="8"/>
    <cellStyle name="Normal" xfId="0" builtinId="0"/>
  </cellStyles>
  <dxfs count="0"/>
  <tableStyles count="0" defaultTableStyle="TableStyleMedium2" defaultPivotStyle="PivotStyleLight16"/>
  <colors>
    <mruColors>
      <color rgb="FF878289"/>
      <color rgb="FFD9534F"/>
      <color rgb="FF5BC0DE"/>
      <color rgb="FF5CB8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uk/Kuman-Stepper-arduino-28BYJ-48-Breadboard/dp/B01IP7IOGQ/ref=sr_1_2_sspa?keywords=stepper+motor&amp;qid=1583006820&amp;sr=8-2-spons&amp;psc=1&amp;spLa=ZW5jcnlwdGVkUXVhbGlmaWVyPUEyQkxBTURSNUdFTUJJJmVuY3J5cHRlZElkPUEwODQ0MjI4Tlc1VVQyNzNPOEkxJmVuY3J5cHRlZEFkSWQ9QTA1MDUzMTA1MFBJV0NYV0k5MTMmd2lkZ2V0TmFtZT1zcF9hdGYmYWN0aW9uPWNsaWNrUmVkaXJlY3QmZG9Ob3RMb2dDbGljaz10cnVl" TargetMode="External"/><Relationship Id="rId13" Type="http://schemas.openxmlformats.org/officeDocument/2006/relationships/printerSettings" Target="../printerSettings/printerSettings1.bin"/><Relationship Id="rId3" Type="http://schemas.openxmlformats.org/officeDocument/2006/relationships/hyperlink" Target="https://www.amazon.co.uk/ELEGOO-tie-points-Breadboard-Breadboards-Electronic/dp/B01N0YWIR7/ref=sr_1_3?keywords=small+breadboard&amp;qid=1582937568&amp;sr=8-3" TargetMode="External"/><Relationship Id="rId7" Type="http://schemas.openxmlformats.org/officeDocument/2006/relationships/hyperlink" Target="https://www.amazon.co.uk/ELEGOO-Ultrasonic-Raspberry-Datasheet-Available/dp/B01M0QL1F1/ref=sr_1_2?keywords=HC-SR04&amp;qid=1582941637&amp;sr=8-2" TargetMode="External"/><Relationship Id="rId12" Type="http://schemas.openxmlformats.org/officeDocument/2006/relationships/hyperlink" Target="https://www.aliexpress.com/item/32860356446.html?spm=a2g0o.productlist.0.0.53a45679fCa5el" TargetMode="External"/><Relationship Id="rId2" Type="http://schemas.openxmlformats.org/officeDocument/2006/relationships/hyperlink" Target="https://uk.rs-online.com/web/p/processor-microcontroller-development-kits/1927587/" TargetMode="External"/><Relationship Id="rId1" Type="http://schemas.openxmlformats.org/officeDocument/2006/relationships/hyperlink" Target="https://thepihut.com/products/raspberry-pi-4-model-b?variant=20064052740158&amp;src=raspberrypi" TargetMode="External"/><Relationship Id="rId6" Type="http://schemas.openxmlformats.org/officeDocument/2006/relationships/hyperlink" Target="https://thepihut.com/products/raspberry-pi-camera-module?src=raspberrypi" TargetMode="External"/><Relationship Id="rId11" Type="http://schemas.openxmlformats.org/officeDocument/2006/relationships/hyperlink" Target="https://www.amazon.co.uk/FCONEGY-11-1V-5500mah-Battery-Deans/dp/B07PHST8C3/ref=sr_1_13?crid=2SRYXH6R7G9WI&amp;keywords=lithium%2Bpolymer%2Bbattery%2B11.1v&amp;qid=1583005791&amp;sprefix=lithium%2Bbattery%2B11.1v%2Caps%2C136&amp;sr=8-13&amp;th=1" TargetMode="External"/><Relationship Id="rId5" Type="http://schemas.openxmlformats.org/officeDocument/2006/relationships/hyperlink" Target="https://www.amazon.co.uk/Elegoo-120pcs-Multicolored-Breadboard-arduino-colorful/dp/B01EV70C78/ref=sr_1_3?keywords=jumper+wires&amp;qid=1582938035&amp;sr=8-3" TargetMode="External"/><Relationship Id="rId10" Type="http://schemas.openxmlformats.org/officeDocument/2006/relationships/hyperlink" Target="https://www.amazon.co.uk/EsportsMJJ-Teeth-Electric-Motor-Bosch/dp/B075CN3MDL/ref=sr_1_8?crid=386CSQEFC8RRZ&amp;keywords=dc%2Belectric%2Bmotor&amp;qid=1583073557&amp;s=home-garden&amp;sprefix=dc%2Belec%2Ckitchen%2C130&amp;sr=1-8&amp;th=1" TargetMode="External"/><Relationship Id="rId4" Type="http://schemas.openxmlformats.org/officeDocument/2006/relationships/hyperlink" Target="https://uk.rs-online.com/web/p/breadboards/6348875/" TargetMode="External"/><Relationship Id="rId9" Type="http://schemas.openxmlformats.org/officeDocument/2006/relationships/hyperlink" Target="https://www.amazon.co.uk/Baosity-Plastic-Removable-Tracked-Chassis/dp/B07R4GQ32N/ref=sr_1_25?keywords=rubber+tank+tracks&amp;qid=1583072934&amp;sr=8-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0EF11-7EE9-4D31-B8BC-9DA184C57ED0}">
  <dimension ref="B2:H34"/>
  <sheetViews>
    <sheetView workbookViewId="0">
      <selection activeCell="I18" sqref="I18"/>
    </sheetView>
  </sheetViews>
  <sheetFormatPr defaultRowHeight="15" x14ac:dyDescent="0.25"/>
  <cols>
    <col min="1" max="1" width="2.7109375" customWidth="1"/>
    <col min="2" max="2" width="32.140625" style="2" customWidth="1"/>
    <col min="3" max="4" width="18.140625" customWidth="1"/>
    <col min="5" max="5" width="11.28515625" customWidth="1"/>
    <col min="6" max="6" width="7" customWidth="1"/>
    <col min="7" max="7" width="30.42578125" customWidth="1"/>
  </cols>
  <sheetData>
    <row r="2" spans="2:8" x14ac:dyDescent="0.25">
      <c r="B2" s="10" t="s">
        <v>0</v>
      </c>
      <c r="C2" s="11" t="s">
        <v>1</v>
      </c>
      <c r="D2" s="10" t="s">
        <v>2</v>
      </c>
      <c r="E2" s="10" t="s">
        <v>3</v>
      </c>
      <c r="F2" s="10" t="s">
        <v>4</v>
      </c>
      <c r="G2" s="10" t="s">
        <v>5</v>
      </c>
      <c r="H2" s="10"/>
    </row>
    <row r="3" spans="2:8" x14ac:dyDescent="0.25">
      <c r="B3" t="s">
        <v>6</v>
      </c>
      <c r="C3" s="2">
        <v>54</v>
      </c>
      <c r="D3">
        <v>1</v>
      </c>
      <c r="E3" s="2">
        <f>C3*D3</f>
        <v>54</v>
      </c>
      <c r="F3" s="1" t="s">
        <v>7</v>
      </c>
      <c r="G3" t="s">
        <v>8</v>
      </c>
      <c r="H3" s="2"/>
    </row>
    <row r="4" spans="2:8" x14ac:dyDescent="0.25">
      <c r="B4" t="s">
        <v>9</v>
      </c>
      <c r="C4" s="2">
        <v>21.06</v>
      </c>
      <c r="D4">
        <v>1</v>
      </c>
      <c r="E4" s="2">
        <f t="shared" ref="E4:E10" si="0">C4*D4</f>
        <v>21.06</v>
      </c>
      <c r="F4" s="1" t="s">
        <v>10</v>
      </c>
      <c r="G4" t="s">
        <v>11</v>
      </c>
      <c r="H4" s="2"/>
    </row>
    <row r="5" spans="2:8" x14ac:dyDescent="0.25">
      <c r="B5" t="s">
        <v>12</v>
      </c>
      <c r="C5" s="2">
        <v>5.99</v>
      </c>
      <c r="D5">
        <v>2</v>
      </c>
      <c r="E5" s="2">
        <f t="shared" si="0"/>
        <v>11.98</v>
      </c>
      <c r="F5" s="1" t="s">
        <v>13</v>
      </c>
      <c r="G5" t="s">
        <v>14</v>
      </c>
      <c r="H5" s="2"/>
    </row>
    <row r="6" spans="2:8" x14ac:dyDescent="0.25">
      <c r="B6" t="s">
        <v>15</v>
      </c>
      <c r="C6" s="2">
        <v>5.15</v>
      </c>
      <c r="D6">
        <v>2</v>
      </c>
      <c r="E6" s="2">
        <f t="shared" si="0"/>
        <v>10.3</v>
      </c>
      <c r="F6" s="1" t="s">
        <v>16</v>
      </c>
      <c r="G6" t="s">
        <v>17</v>
      </c>
      <c r="H6" s="2"/>
    </row>
    <row r="7" spans="2:8" x14ac:dyDescent="0.25">
      <c r="B7" t="s">
        <v>18</v>
      </c>
      <c r="C7" s="2">
        <v>5.95</v>
      </c>
      <c r="D7" s="3">
        <v>1</v>
      </c>
      <c r="E7" s="2">
        <f t="shared" si="0"/>
        <v>5.95</v>
      </c>
      <c r="F7" s="1" t="s">
        <v>19</v>
      </c>
      <c r="G7" t="s">
        <v>20</v>
      </c>
      <c r="H7" s="2"/>
    </row>
    <row r="8" spans="2:8" x14ac:dyDescent="0.25">
      <c r="B8" t="s">
        <v>21</v>
      </c>
      <c r="C8" s="2">
        <v>49.99</v>
      </c>
      <c r="D8">
        <v>1</v>
      </c>
      <c r="E8" s="2">
        <f t="shared" si="0"/>
        <v>49.99</v>
      </c>
      <c r="F8" s="1" t="s">
        <v>22</v>
      </c>
      <c r="H8" s="2"/>
    </row>
    <row r="9" spans="2:8" x14ac:dyDescent="0.25">
      <c r="B9" t="s">
        <v>23</v>
      </c>
      <c r="C9" s="2">
        <v>7.99</v>
      </c>
      <c r="D9">
        <v>4</v>
      </c>
      <c r="E9" s="2">
        <f t="shared" si="0"/>
        <v>31.96</v>
      </c>
      <c r="F9" s="1" t="s">
        <v>24</v>
      </c>
      <c r="H9" s="2"/>
    </row>
    <row r="10" spans="2:8" x14ac:dyDescent="0.25">
      <c r="B10" t="s">
        <v>25</v>
      </c>
      <c r="C10" s="2">
        <v>11.58</v>
      </c>
      <c r="D10">
        <v>1</v>
      </c>
      <c r="E10" s="2">
        <f t="shared" si="0"/>
        <v>11.58</v>
      </c>
      <c r="F10" s="1" t="s">
        <v>26</v>
      </c>
      <c r="H10" s="2"/>
    </row>
    <row r="11" spans="2:8" x14ac:dyDescent="0.25">
      <c r="B11" t="s">
        <v>27</v>
      </c>
      <c r="C11" s="2">
        <v>11.13</v>
      </c>
      <c r="D11">
        <v>1</v>
      </c>
      <c r="E11" s="2">
        <f>C11*D11</f>
        <v>11.13</v>
      </c>
      <c r="F11" s="1" t="s">
        <v>28</v>
      </c>
      <c r="H11" s="2"/>
    </row>
    <row r="12" spans="2:8" x14ac:dyDescent="0.25">
      <c r="B12" t="s">
        <v>29</v>
      </c>
      <c r="C12" s="2"/>
      <c r="E12" s="2">
        <f>C12*D12</f>
        <v>0</v>
      </c>
      <c r="H12" s="2"/>
    </row>
    <row r="13" spans="2:8" x14ac:dyDescent="0.25">
      <c r="B13" t="s">
        <v>30</v>
      </c>
      <c r="C13" s="2">
        <v>24</v>
      </c>
      <c r="D13">
        <v>2</v>
      </c>
      <c r="E13" s="2">
        <f>C13*D13</f>
        <v>48</v>
      </c>
      <c r="F13" s="1" t="s">
        <v>31</v>
      </c>
      <c r="G13" t="s">
        <v>32</v>
      </c>
      <c r="H13" s="2"/>
    </row>
    <row r="14" spans="2:8" x14ac:dyDescent="0.25">
      <c r="B14" t="s">
        <v>33</v>
      </c>
      <c r="C14" s="2">
        <v>8.99</v>
      </c>
      <c r="D14">
        <v>3</v>
      </c>
      <c r="E14" s="2">
        <f>C14*D14</f>
        <v>26.97</v>
      </c>
      <c r="F14" s="1" t="s">
        <v>34</v>
      </c>
      <c r="H14" s="2"/>
    </row>
    <row r="15" spans="2:8" x14ac:dyDescent="0.25">
      <c r="B15" t="s">
        <v>35</v>
      </c>
      <c r="C15" s="2">
        <v>13.39</v>
      </c>
      <c r="D15">
        <v>1</v>
      </c>
      <c r="E15" s="2">
        <f>C15*D15</f>
        <v>13.39</v>
      </c>
      <c r="F15" s="1" t="s">
        <v>36</v>
      </c>
      <c r="H15" s="2"/>
    </row>
    <row r="16" spans="2:8" ht="15.75" thickBot="1" x14ac:dyDescent="0.3">
      <c r="B16" s="8"/>
      <c r="C16" s="9"/>
      <c r="D16" s="9"/>
      <c r="E16" s="9"/>
      <c r="F16" s="9"/>
      <c r="G16" s="9"/>
      <c r="H16" s="9"/>
    </row>
    <row r="17" spans="2:8" x14ac:dyDescent="0.25">
      <c r="B17" t="s">
        <v>3</v>
      </c>
      <c r="C17" s="2">
        <f ca="1">SUM(C3:C25)</f>
        <v>219.22000000000003</v>
      </c>
      <c r="D17" s="2"/>
      <c r="E17" s="2">
        <f ca="1">SUM(E3:E25)</f>
        <v>296.31</v>
      </c>
      <c r="H17" s="2"/>
    </row>
    <row r="18" spans="2:8" x14ac:dyDescent="0.25">
      <c r="B18"/>
      <c r="C18" s="2"/>
      <c r="E18" s="2"/>
      <c r="H18" s="2"/>
    </row>
    <row r="19" spans="2:8" x14ac:dyDescent="0.25">
      <c r="B19"/>
      <c r="C19" s="2"/>
      <c r="E19" s="2"/>
      <c r="H19" s="2"/>
    </row>
    <row r="20" spans="2:8" x14ac:dyDescent="0.25">
      <c r="B20"/>
      <c r="C20" s="2"/>
      <c r="E20" s="2"/>
      <c r="H20" s="2"/>
    </row>
    <row r="22" spans="2:8" x14ac:dyDescent="0.25">
      <c r="B22"/>
      <c r="C22" s="2"/>
      <c r="E22" s="2"/>
      <c r="H22" s="2"/>
    </row>
    <row r="23" spans="2:8" x14ac:dyDescent="0.25">
      <c r="B23"/>
      <c r="C23" s="2"/>
      <c r="E23" s="2"/>
      <c r="H23" s="2"/>
    </row>
    <row r="24" spans="2:8" x14ac:dyDescent="0.25">
      <c r="B24"/>
      <c r="C24" s="2"/>
      <c r="E24" s="2"/>
      <c r="H24" s="2"/>
    </row>
    <row r="25" spans="2:8" x14ac:dyDescent="0.25">
      <c r="B25" s="1"/>
      <c r="C25" s="2"/>
      <c r="E25" s="2"/>
      <c r="H25" s="2"/>
    </row>
    <row r="27" spans="2:8" x14ac:dyDescent="0.25">
      <c r="B27"/>
      <c r="C27" s="2"/>
      <c r="E27" t="s">
        <v>37</v>
      </c>
    </row>
    <row r="28" spans="2:8" x14ac:dyDescent="0.25">
      <c r="B28"/>
      <c r="C28" s="2"/>
      <c r="H28" s="2"/>
    </row>
    <row r="29" spans="2:8" x14ac:dyDescent="0.25">
      <c r="B29" t="s">
        <v>38</v>
      </c>
      <c r="C29" s="2" t="s">
        <v>39</v>
      </c>
    </row>
    <row r="30" spans="2:8" x14ac:dyDescent="0.25">
      <c r="B30" t="s">
        <v>21</v>
      </c>
      <c r="C30" s="2" t="s">
        <v>40</v>
      </c>
    </row>
    <row r="31" spans="2:8" x14ac:dyDescent="0.25">
      <c r="B31" t="s">
        <v>23</v>
      </c>
      <c r="C31" s="2" t="s">
        <v>41</v>
      </c>
    </row>
    <row r="32" spans="2:8" x14ac:dyDescent="0.25">
      <c r="B32" t="s">
        <v>42</v>
      </c>
      <c r="C32" s="2" t="s">
        <v>43</v>
      </c>
    </row>
    <row r="33" spans="2:4" x14ac:dyDescent="0.25">
      <c r="B33" t="s">
        <v>44</v>
      </c>
      <c r="C33" s="2" t="s">
        <v>45</v>
      </c>
    </row>
    <row r="34" spans="2:4" x14ac:dyDescent="0.25">
      <c r="B34" t="s">
        <v>46</v>
      </c>
      <c r="C34" s="2" t="s">
        <v>47</v>
      </c>
      <c r="D34" t="s">
        <v>40</v>
      </c>
    </row>
  </sheetData>
  <hyperlinks>
    <hyperlink ref="F3" r:id="rId1" xr:uid="{1EA4B91B-E28B-4FF9-8437-FEAE510E520D}"/>
    <hyperlink ref="F4" r:id="rId2" xr:uid="{C56DDADB-E5F4-433F-B9BF-D48F05B97D5B}"/>
    <hyperlink ref="F5" r:id="rId3" xr:uid="{6BB03C01-A763-402A-A3B1-243512274F1A}"/>
    <hyperlink ref="F6" r:id="rId4" xr:uid="{F41D8FAD-6223-48B6-BB6B-F1F855F131E6}"/>
    <hyperlink ref="F7" r:id="rId5" xr:uid="{E08F6FA4-DBB4-4E1A-A666-448CCF1890CE}"/>
    <hyperlink ref="F13" r:id="rId6" xr:uid="{F12F0C66-54FF-4965-ACA8-BA549E9A9ED5}"/>
    <hyperlink ref="F14" r:id="rId7" xr:uid="{4E2706DB-AC14-4967-B530-B1247EDA2143}"/>
    <hyperlink ref="F10" r:id="rId8" display="https://www.amazon.co.uk/Kuman-Stepper-arduino-28BYJ-48-Breadboard/dp/B01IP7IOGQ/ref=sr_1_2_sspa?keywords=stepper+motor&amp;qid=1583006820&amp;sr=8-2-spons&amp;psc=1&amp;spLa=ZW5jcnlwdGVkUXVhbGlmaWVyPUEyQkxBTURSNUdFTUJJJmVuY3J5cHRlZElkPUEwODQ0MjI4Tlc1VVQyNzNPOEkxJmVuY3J5cHRlZEFkSWQ9QTA1MDUzMTA1MFBJV0NYV0k5MTMmd2lkZ2V0TmFtZT1zcF9hdGYmYWN0aW9uPWNsaWNrUmVkaXJlY3QmZG9Ob3RMb2dDbGljaz10cnVl" xr:uid="{0D0F5823-BF95-413F-8FA2-13352441A817}"/>
    <hyperlink ref="F11" r:id="rId9" xr:uid="{6438F6E0-BEC4-4FC2-B0D9-4B25BCCD02E8}"/>
    <hyperlink ref="F9" r:id="rId10" xr:uid="{EACD4519-B500-475B-8B08-DE32650E9FA6}"/>
    <hyperlink ref="F8" r:id="rId11" xr:uid="{273A1C5E-BFFB-4F9E-B7AD-52B3BAB1F4D3}"/>
    <hyperlink ref="F15" r:id="rId12" xr:uid="{F2F151F1-CAB1-4004-A4AA-BFCAB56B9FCF}"/>
  </hyperlinks>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56D9-5947-40F9-874C-1928C437A401}">
  <dimension ref="A1:S23"/>
  <sheetViews>
    <sheetView tabSelected="1" zoomScale="86" zoomScaleNormal="86" workbookViewId="0">
      <selection activeCell="E39" sqref="E39"/>
    </sheetView>
  </sheetViews>
  <sheetFormatPr defaultRowHeight="15" x14ac:dyDescent="0.25"/>
  <cols>
    <col min="1" max="1" width="27.42578125" customWidth="1"/>
    <col min="3" max="3" width="14.28515625" customWidth="1"/>
    <col min="4" max="4" width="13.85546875" customWidth="1"/>
    <col min="5" max="5" width="15.140625" customWidth="1"/>
    <col min="6" max="6" width="14.28515625" customWidth="1"/>
    <col min="7" max="7" width="16.7109375" customWidth="1"/>
    <col min="8" max="8" width="11.5703125" customWidth="1"/>
    <col min="9" max="9" width="13.42578125" customWidth="1"/>
    <col min="10" max="10" width="12.5703125" customWidth="1"/>
    <col min="11" max="11" width="15" customWidth="1"/>
    <col min="12" max="12" width="11.140625" customWidth="1"/>
    <col min="13" max="14" width="11.85546875" customWidth="1"/>
    <col min="15" max="15" width="12.5703125" customWidth="1"/>
    <col min="16" max="16" width="14.28515625" customWidth="1"/>
    <col min="17" max="17" width="11.5703125" customWidth="1"/>
    <col min="18" max="18" width="12" customWidth="1"/>
    <col min="19" max="19" width="15" customWidth="1"/>
  </cols>
  <sheetData>
    <row r="1" spans="1:19" x14ac:dyDescent="0.25">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row>
    <row r="2" spans="1:19" x14ac:dyDescent="0.25">
      <c r="A2" s="10" t="s">
        <v>66</v>
      </c>
      <c r="G2" t="s">
        <v>67</v>
      </c>
      <c r="K2" t="s">
        <v>68</v>
      </c>
      <c r="P2" t="s">
        <v>69</v>
      </c>
    </row>
    <row r="4" spans="1:19" x14ac:dyDescent="0.25">
      <c r="A4" s="10" t="s">
        <v>70</v>
      </c>
      <c r="B4" s="19"/>
      <c r="C4" s="12"/>
      <c r="D4" s="12"/>
      <c r="E4" s="12"/>
      <c r="F4" s="12"/>
      <c r="G4" s="12"/>
      <c r="H4" s="12"/>
      <c r="I4" s="12"/>
      <c r="J4" s="12"/>
      <c r="K4" s="12"/>
      <c r="L4" s="12"/>
      <c r="M4" s="12"/>
      <c r="N4" s="12"/>
      <c r="O4" s="12"/>
      <c r="P4" s="12"/>
      <c r="Q4" s="12"/>
      <c r="R4" s="12"/>
      <c r="S4" s="12"/>
    </row>
    <row r="5" spans="1:19" x14ac:dyDescent="0.25">
      <c r="A5" t="s">
        <v>71</v>
      </c>
      <c r="B5" s="19"/>
      <c r="C5" s="12"/>
      <c r="D5" s="12"/>
      <c r="E5" s="12"/>
      <c r="F5" s="12"/>
      <c r="G5" s="13"/>
      <c r="H5" s="13"/>
      <c r="I5" s="13"/>
      <c r="J5" s="13"/>
      <c r="K5" s="12"/>
      <c r="L5" s="12"/>
      <c r="M5" s="12"/>
      <c r="N5" s="12"/>
      <c r="O5" s="12"/>
      <c r="P5" s="12"/>
      <c r="Q5" s="12"/>
      <c r="R5" s="12"/>
      <c r="S5" s="12"/>
    </row>
    <row r="6" spans="1:19" x14ac:dyDescent="0.25">
      <c r="A6" t="s">
        <v>72</v>
      </c>
      <c r="B6" s="19"/>
      <c r="C6" s="12"/>
      <c r="D6" s="12"/>
      <c r="E6" s="12"/>
      <c r="F6" s="12"/>
      <c r="G6" s="12"/>
      <c r="H6" s="12"/>
      <c r="I6" s="13"/>
      <c r="J6" s="13"/>
      <c r="K6" s="12"/>
      <c r="L6" s="12"/>
      <c r="M6" s="12"/>
      <c r="N6" s="12"/>
      <c r="O6" s="12"/>
      <c r="P6" s="12"/>
      <c r="Q6" s="12"/>
      <c r="R6" s="12"/>
      <c r="S6" s="12"/>
    </row>
    <row r="7" spans="1:19" x14ac:dyDescent="0.25">
      <c r="A7" t="s">
        <v>73</v>
      </c>
      <c r="B7" s="19"/>
      <c r="C7" s="12"/>
      <c r="D7" s="12"/>
      <c r="E7" s="12"/>
      <c r="F7" s="12"/>
      <c r="G7" s="12"/>
      <c r="H7" s="12"/>
      <c r="I7" s="12"/>
      <c r="J7" s="14"/>
      <c r="K7" s="14"/>
      <c r="L7" s="15"/>
      <c r="M7" s="15"/>
      <c r="N7" s="12"/>
      <c r="O7" s="12"/>
      <c r="P7" s="12"/>
      <c r="Q7" s="12"/>
      <c r="R7" s="12"/>
      <c r="S7" s="12"/>
    </row>
    <row r="8" spans="1:19" x14ac:dyDescent="0.25">
      <c r="A8" t="s">
        <v>88</v>
      </c>
      <c r="B8" s="19"/>
      <c r="C8" s="12"/>
      <c r="D8" s="12"/>
      <c r="E8" s="13"/>
      <c r="F8" s="13"/>
      <c r="G8" s="13"/>
      <c r="H8" s="13"/>
      <c r="I8" s="13"/>
      <c r="J8" s="12"/>
      <c r="K8" s="12"/>
      <c r="L8" s="12"/>
      <c r="M8" s="12"/>
      <c r="N8" s="12"/>
      <c r="O8" s="12"/>
      <c r="P8" s="12"/>
      <c r="Q8" s="12"/>
      <c r="R8" s="12"/>
      <c r="S8" s="12"/>
    </row>
    <row r="9" spans="1:19" x14ac:dyDescent="0.25">
      <c r="A9" t="s">
        <v>74</v>
      </c>
      <c r="B9" s="19"/>
      <c r="C9" s="16"/>
      <c r="D9" s="16"/>
      <c r="E9" s="16"/>
      <c r="F9" s="16"/>
      <c r="G9" s="12"/>
      <c r="H9" s="12"/>
      <c r="I9" s="18"/>
      <c r="J9" s="18"/>
      <c r="K9" s="18"/>
      <c r="L9" s="18"/>
      <c r="M9" s="18"/>
      <c r="N9" s="18"/>
      <c r="O9" s="18"/>
      <c r="P9" s="18"/>
      <c r="Q9" s="15"/>
      <c r="R9" s="15"/>
      <c r="S9" s="12"/>
    </row>
    <row r="10" spans="1:19" x14ac:dyDescent="0.25">
      <c r="A10" t="s">
        <v>75</v>
      </c>
      <c r="B10" s="19"/>
      <c r="C10" s="12"/>
      <c r="D10" s="12"/>
      <c r="E10" s="12"/>
      <c r="F10" s="12"/>
      <c r="G10" s="12"/>
      <c r="H10" s="12"/>
      <c r="I10" s="12"/>
      <c r="J10" s="17"/>
      <c r="K10" s="17"/>
      <c r="L10" s="17"/>
      <c r="M10" s="17"/>
      <c r="N10" s="12"/>
      <c r="O10" s="12"/>
      <c r="P10" s="12"/>
      <c r="Q10" s="12"/>
      <c r="R10" s="12"/>
      <c r="S10" s="12"/>
    </row>
    <row r="11" spans="1:19" x14ac:dyDescent="0.25">
      <c r="A11" t="s">
        <v>76</v>
      </c>
      <c r="B11" s="19"/>
      <c r="C11" s="12"/>
      <c r="D11" s="12"/>
      <c r="E11" s="12"/>
      <c r="F11" s="12"/>
      <c r="G11" s="18"/>
      <c r="H11" s="18"/>
      <c r="I11" s="18"/>
      <c r="J11" s="18"/>
      <c r="K11" s="15"/>
      <c r="L11" s="12"/>
      <c r="M11" s="12"/>
      <c r="N11" s="12"/>
      <c r="O11" s="12"/>
      <c r="P11" s="12"/>
      <c r="Q11" s="12"/>
      <c r="R11" s="12"/>
      <c r="S11" s="12"/>
    </row>
    <row r="12" spans="1:19" x14ac:dyDescent="0.25">
      <c r="A12" t="s">
        <v>77</v>
      </c>
      <c r="B12" s="19"/>
      <c r="C12" s="12"/>
      <c r="D12" s="12"/>
      <c r="E12" s="12"/>
      <c r="F12" s="12"/>
      <c r="G12" s="12"/>
      <c r="H12" s="12"/>
      <c r="I12" s="17"/>
      <c r="J12" s="17"/>
      <c r="K12" s="17"/>
      <c r="L12" s="17"/>
      <c r="M12" s="17"/>
      <c r="N12" s="12"/>
      <c r="O12" s="12"/>
      <c r="P12" s="12"/>
      <c r="Q12" s="12"/>
      <c r="R12" s="12"/>
      <c r="S12" s="12"/>
    </row>
    <row r="13" spans="1:19" x14ac:dyDescent="0.25">
      <c r="A13" t="s">
        <v>78</v>
      </c>
      <c r="B13" s="19"/>
      <c r="C13" s="12"/>
      <c r="D13" s="12"/>
      <c r="E13" s="12"/>
      <c r="F13" s="12"/>
      <c r="G13" s="12"/>
      <c r="H13" s="12"/>
      <c r="I13" s="12"/>
      <c r="J13" s="12"/>
      <c r="K13" s="12"/>
      <c r="L13" s="12"/>
      <c r="M13" s="12"/>
      <c r="N13" s="12"/>
      <c r="O13" s="18"/>
      <c r="P13" s="18"/>
      <c r="Q13" s="15"/>
      <c r="R13" s="12"/>
      <c r="S13" s="12"/>
    </row>
    <row r="14" spans="1:19" x14ac:dyDescent="0.25">
      <c r="A14" t="s">
        <v>79</v>
      </c>
      <c r="B14" s="19"/>
      <c r="C14" s="12"/>
      <c r="D14" s="12"/>
      <c r="E14" s="12"/>
      <c r="F14" s="12"/>
      <c r="G14" s="12"/>
      <c r="H14" s="12"/>
      <c r="I14" s="12"/>
      <c r="J14" s="12"/>
      <c r="K14" s="12"/>
      <c r="L14" s="12"/>
      <c r="M14" s="12"/>
      <c r="N14" s="12"/>
      <c r="O14" s="12"/>
      <c r="P14" s="17"/>
      <c r="Q14" s="17"/>
      <c r="R14" s="15"/>
      <c r="S14" s="12"/>
    </row>
    <row r="15" spans="1:19" x14ac:dyDescent="0.25">
      <c r="A15" t="s">
        <v>87</v>
      </c>
      <c r="B15" s="19"/>
      <c r="C15" s="13"/>
      <c r="D15" s="13"/>
      <c r="E15" s="13"/>
      <c r="F15" s="13"/>
      <c r="G15" s="12"/>
      <c r="H15" s="12"/>
      <c r="I15" s="12"/>
      <c r="J15" s="12"/>
      <c r="K15" s="12"/>
      <c r="L15" s="12"/>
      <c r="M15" s="12"/>
      <c r="N15" s="12"/>
      <c r="O15" s="12"/>
      <c r="P15" s="12"/>
      <c r="Q15" s="12"/>
      <c r="R15" s="12"/>
      <c r="S15" s="12"/>
    </row>
    <row r="16" spans="1:19" x14ac:dyDescent="0.25">
      <c r="A16" t="s">
        <v>81</v>
      </c>
      <c r="B16" s="19"/>
      <c r="C16" s="12"/>
      <c r="D16" s="12"/>
      <c r="E16" s="12"/>
      <c r="F16" s="12"/>
      <c r="G16" s="12"/>
      <c r="H16" s="12"/>
      <c r="I16" s="12"/>
      <c r="J16" s="12"/>
      <c r="K16" s="12"/>
      <c r="L16" s="12"/>
      <c r="M16" s="13"/>
      <c r="N16" s="13"/>
      <c r="O16" s="13"/>
      <c r="P16" s="13"/>
      <c r="Q16" s="12"/>
      <c r="R16" s="12"/>
      <c r="S16" s="12"/>
    </row>
    <row r="17" spans="1:19" x14ac:dyDescent="0.25">
      <c r="A17" t="s">
        <v>80</v>
      </c>
      <c r="B17" s="19"/>
      <c r="C17" s="12"/>
      <c r="D17" s="12"/>
      <c r="E17" s="12"/>
      <c r="F17" s="12"/>
      <c r="G17" s="12"/>
      <c r="H17" s="12"/>
      <c r="I17" s="12"/>
      <c r="J17" s="12"/>
      <c r="K17" s="12"/>
      <c r="L17" s="12"/>
      <c r="M17" s="12"/>
      <c r="N17" s="12"/>
      <c r="O17" s="12"/>
      <c r="P17" s="12"/>
      <c r="Q17" s="13"/>
      <c r="R17" s="13"/>
      <c r="S17" s="13"/>
    </row>
    <row r="19" spans="1:19" x14ac:dyDescent="0.25">
      <c r="A19" s="10" t="s">
        <v>82</v>
      </c>
    </row>
    <row r="20" spans="1:19" x14ac:dyDescent="0.25">
      <c r="A20" t="s">
        <v>83</v>
      </c>
      <c r="B20" s="7"/>
    </row>
    <row r="21" spans="1:19" x14ac:dyDescent="0.25">
      <c r="A21" t="s">
        <v>84</v>
      </c>
      <c r="B21" s="4"/>
    </row>
    <row r="22" spans="1:19" x14ac:dyDescent="0.25">
      <c r="A22" t="s">
        <v>85</v>
      </c>
      <c r="B22" s="6"/>
    </row>
    <row r="23" spans="1:19" x14ac:dyDescent="0.25">
      <c r="A23" t="s">
        <v>86</v>
      </c>
      <c r="B23"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2020-02-29T00:29:10Z</dcterms:created>
  <dcterms:modified xsi:type="dcterms:W3CDTF">2020-03-01T23:29:47Z</dcterms:modified>
  <cp:category/>
  <cp:contentStatus/>
</cp:coreProperties>
</file>