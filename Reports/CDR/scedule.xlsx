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2433CB9-F7B2-4E6D-AE2E-AE9D9CA3D6AA}" xr6:coauthVersionLast="44" xr6:coauthVersionMax="44" xr10:uidLastSave="{00000000-0000-0000-0000-000000000000}"/>
  <bookViews>
    <workbookView xWindow="-120" yWindow="-120" windowWidth="29040" windowHeight="15840" activeTab="1" xr2:uid="{0972307A-01E7-4CF9-A04B-C1DA212AF47A}"/>
  </bookViews>
  <sheets>
    <sheet name="Planned CDR Schedule" sheetId="1" r:id="rId1"/>
    <sheet name="Planned Post-CDR Schedule" sheetId="2" r:id="rId2"/>
    <sheet name="Actual Schedule" sheetId="3" r:id="rId3"/>
    <sheet name="Trade-Offs"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51" i="5" l="1"/>
  <c r="H51" i="5"/>
  <c r="D51" i="5"/>
  <c r="F38" i="5"/>
  <c r="H38" i="5"/>
  <c r="D38" i="5"/>
  <c r="F24" i="5"/>
  <c r="H24" i="5"/>
  <c r="D24" i="5"/>
  <c r="H11" i="5"/>
  <c r="J11" i="5"/>
  <c r="D11" i="5"/>
  <c r="K5" i="5"/>
  <c r="K6" i="5"/>
  <c r="K7" i="5"/>
  <c r="K8" i="5"/>
  <c r="K9" i="5"/>
  <c r="K4" i="5"/>
  <c r="I5" i="5"/>
  <c r="I6" i="5"/>
  <c r="I7" i="5"/>
  <c r="I8" i="5"/>
  <c r="I9" i="5"/>
  <c r="I4" i="5"/>
  <c r="G5" i="5"/>
  <c r="G6" i="5"/>
  <c r="F11" i="5" s="1"/>
  <c r="G7" i="5"/>
  <c r="G8" i="5"/>
  <c r="G9" i="5"/>
  <c r="G4" i="5"/>
  <c r="E5" i="5"/>
  <c r="E6" i="5"/>
  <c r="E7" i="5"/>
  <c r="E8" i="5"/>
  <c r="E9" i="5"/>
  <c r="E4" i="5"/>
  <c r="I18" i="5"/>
  <c r="I19" i="5"/>
  <c r="I20" i="5"/>
  <c r="I21" i="5"/>
  <c r="I22" i="5"/>
  <c r="I17" i="5"/>
  <c r="G18" i="5"/>
  <c r="G19" i="5"/>
  <c r="G20" i="5"/>
  <c r="G21" i="5"/>
  <c r="G22" i="5"/>
  <c r="G17" i="5"/>
  <c r="E18" i="5"/>
  <c r="E19" i="5"/>
  <c r="E20" i="5"/>
  <c r="E21" i="5"/>
  <c r="E22" i="5"/>
  <c r="E17" i="5"/>
  <c r="I31" i="5"/>
  <c r="I32" i="5"/>
  <c r="I33" i="5"/>
  <c r="I34" i="5"/>
  <c r="I35" i="5"/>
  <c r="I36" i="5"/>
  <c r="I30" i="5"/>
  <c r="G31" i="5"/>
  <c r="G32" i="5"/>
  <c r="G33" i="5"/>
  <c r="G34" i="5"/>
  <c r="G35" i="5"/>
  <c r="G36" i="5"/>
  <c r="G30" i="5"/>
  <c r="E31" i="5"/>
  <c r="E32" i="5"/>
  <c r="E33" i="5"/>
  <c r="E34" i="5"/>
  <c r="E35" i="5"/>
  <c r="E36" i="5"/>
  <c r="E30" i="5"/>
  <c r="I45" i="5"/>
  <c r="I46" i="5"/>
  <c r="I47" i="5"/>
  <c r="I48" i="5"/>
  <c r="I49" i="5"/>
  <c r="I44" i="5"/>
  <c r="G45" i="5"/>
  <c r="G46" i="5"/>
  <c r="G47" i="5"/>
  <c r="G48" i="5"/>
  <c r="G49" i="5"/>
  <c r="G44" i="5"/>
  <c r="E45" i="5"/>
  <c r="E46" i="5"/>
  <c r="E47" i="5"/>
  <c r="E48" i="5"/>
  <c r="E49" i="5"/>
  <c r="E44" i="5"/>
  <c r="C50" i="5"/>
  <c r="C23" i="5"/>
  <c r="C37" i="5"/>
  <c r="C10" i="5"/>
</calcChain>
</file>

<file path=xl/sharedStrings.xml><?xml version="1.0" encoding="utf-8"?>
<sst xmlns="http://schemas.openxmlformats.org/spreadsheetml/2006/main" count="280" uniqueCount="150">
  <si>
    <t>Person</t>
  </si>
  <si>
    <t>Date</t>
  </si>
  <si>
    <t>Iras</t>
  </si>
  <si>
    <t>Erika</t>
  </si>
  <si>
    <t>Nikolo</t>
  </si>
  <si>
    <t>Bertie</t>
  </si>
  <si>
    <t>Sam</t>
  </si>
  <si>
    <t>Emily</t>
  </si>
  <si>
    <t>DEC 16th</t>
  </si>
  <si>
    <t>DEC 23rd</t>
  </si>
  <si>
    <t>DEC 30th</t>
  </si>
  <si>
    <t>JAN 6th</t>
  </si>
  <si>
    <t>JAN 13th</t>
  </si>
  <si>
    <t>JAN 20th</t>
  </si>
  <si>
    <t>FEB 3rd</t>
  </si>
  <si>
    <t>FEB 10th</t>
  </si>
  <si>
    <t>MAR 2nd</t>
  </si>
  <si>
    <t>MAR 9th</t>
  </si>
  <si>
    <t>MAR 16th</t>
  </si>
  <si>
    <t>MAR 23rd</t>
  </si>
  <si>
    <t>MAR 30th</t>
  </si>
  <si>
    <t>CDR due 1st</t>
  </si>
  <si>
    <t>PDR due 20th</t>
  </si>
  <si>
    <t>HOLIDAY</t>
  </si>
  <si>
    <t>Risk assesment &amp; Lab application</t>
  </si>
  <si>
    <t>Create Post-CDR Schedule</t>
  </si>
  <si>
    <t>Write CDR</t>
  </si>
  <si>
    <t>The roles we had allocated from the beginning of the project lent itself well into dividing the team into pairs to work on 3 categories of tasks together: Design (Bertie &amp; Nikolo), 
Admin (Iras &amp; Erika) and Electronics (Sam &amp; Emily) tasks. We had a rough week-by-week schedule of tasks for each person, up to the CDR submission date, and had planned to make a new schedule for after the CDR up to the Readiness Review, however, due to disruptions in the team, this did not happen.</t>
  </si>
  <si>
    <t>Seek Funding &amp; University Materials</t>
  </si>
  <si>
    <t>Engineering Drawing &amp; 3D Modelling</t>
  </si>
  <si>
    <t>Basic Prototyping</t>
  </si>
  <si>
    <t>Help CDR</t>
  </si>
  <si>
    <t>Research &amp; Choose Electronics to Use</t>
  </si>
  <si>
    <t>TO BE SCHEDULED</t>
  </si>
  <si>
    <t>Choose Languages/Platforms &amp; do Initial Code Plan</t>
  </si>
  <si>
    <t>Find and compile part spreadsheet of Parts to Buy</t>
  </si>
  <si>
    <t>Power Calculations</t>
  </si>
  <si>
    <t>Circuit Diagrams &amp; Basic Prototypes if Possible</t>
  </si>
  <si>
    <t>FEB 24th **</t>
  </si>
  <si>
    <t>Researching &amp; Choosing Materials &amp; Processes to Use</t>
  </si>
  <si>
    <t>JAN 27th ***</t>
  </si>
  <si>
    <t>FEB 17th ****</t>
  </si>
  <si>
    <t>APR 6th</t>
  </si>
  <si>
    <t>APR 13th</t>
  </si>
  <si>
    <t>APR 20th</t>
  </si>
  <si>
    <t>APR 27th</t>
  </si>
  <si>
    <t>MAY 4th</t>
  </si>
  <si>
    <t>MAY 11th</t>
  </si>
  <si>
    <t>MAY 18th</t>
  </si>
  <si>
    <t>MAY 25th</t>
  </si>
  <si>
    <t>JUN 1st</t>
  </si>
  <si>
    <t>JUN 8th</t>
  </si>
  <si>
    <t>JUN 15th</t>
  </si>
  <si>
    <t>JUN 29th</t>
  </si>
  <si>
    <t>JUL 6th</t>
  </si>
  <si>
    <t>JUL 13TH</t>
  </si>
  <si>
    <t>JUL 20th</t>
  </si>
  <si>
    <t>JUL 27th</t>
  </si>
  <si>
    <t xml:space="preserve">APR 3rd </t>
  </si>
  <si>
    <t>TRR due 1st</t>
  </si>
  <si>
    <t>CDR Interview 14th</t>
  </si>
  <si>
    <t>Task #</t>
  </si>
  <si>
    <t>Task Name</t>
  </si>
  <si>
    <t>ADMIN TASKS</t>
  </si>
  <si>
    <t>MANUFACTURING TASKS</t>
  </si>
  <si>
    <t xml:space="preserve">TESTING </t>
  </si>
  <si>
    <t>PROGRAMMING / ELECTRONICS</t>
  </si>
  <si>
    <t>Start a KU backer campaign</t>
  </si>
  <si>
    <t>Write up official description + part list</t>
  </si>
  <si>
    <t>Contact student union about funding</t>
  </si>
  <si>
    <t>Procure materials/parts</t>
  </si>
  <si>
    <t>Order parts from uni suppliers through
lab technicians</t>
  </si>
  <si>
    <t>Talk to society treasurer about using a 
portion of monthly society funds</t>
  </si>
  <si>
    <t>Order rest of parts privately to project 
leaders house</t>
  </si>
  <si>
    <t>Request spare available materials from 
construction labs</t>
  </si>
  <si>
    <t>Organise Funding</t>
  </si>
  <si>
    <t>Access construction facillities</t>
  </si>
  <si>
    <t>Perform a risk assesment</t>
  </si>
  <si>
    <t>Ensure all members have completed compulsory saftey training</t>
  </si>
  <si>
    <t>Organise dates to use construction labs</t>
  </si>
  <si>
    <t>Receive all parts and reorder/refund any that do not arrive on time</t>
  </si>
  <si>
    <t>Prepare for readiness review</t>
  </si>
  <si>
    <t>Film progress video</t>
  </si>
  <si>
    <t>Keep logbook of progress</t>
  </si>
  <si>
    <t>3D Modelling parts</t>
  </si>
  <si>
    <t>Chassis</t>
  </si>
  <si>
    <t>Crane system</t>
  </si>
  <si>
    <t>Tracks</t>
  </si>
  <si>
    <t>Suspension</t>
  </si>
  <si>
    <t>Vibration plate interface</t>
  </si>
  <si>
    <t>Electronics</t>
  </si>
  <si>
    <t>Compile all together</t>
  </si>
  <si>
    <t>Constructing</t>
  </si>
  <si>
    <t>Compile all together + tweak</t>
  </si>
  <si>
    <t>Contact possible investors</t>
  </si>
  <si>
    <t>Trade-Offs</t>
  </si>
  <si>
    <t>Wheels</t>
  </si>
  <si>
    <t>Grip</t>
  </si>
  <si>
    <t>Durability</t>
  </si>
  <si>
    <t>Total</t>
  </si>
  <si>
    <t>Price</t>
  </si>
  <si>
    <t xml:space="preserve">Price </t>
  </si>
  <si>
    <t>1. For the last week before the CDR submission deadline, everyone was intended to work on the CDR as a sort of mitigation to ensure that the CDR is definitely complete on time, in case the workload of writing the CDR was too difficult for just two people and the CDR needed extra work. We do admit that this was not enough time dedicated to margin/mitigation time, as many things did go wrong and we did not complete all that we intended to before the CDR submission date and therefore have included much more margin time in our post-CDR schedule as a result.</t>
  </si>
  <si>
    <t>2. Erika drops out</t>
  </si>
  <si>
    <t>3. By this time, members who hadn't held up to their roles either willfully left the team or were kicked out. This was decided to be the best course of action as we could make a new schedule around reliable 
members of the team only, giving us a reduced risk of delays in the future. However, with only two real team members remaining and most tasks being incomplete, we had to prioritise tasks dependant on how urgantly they needed to be completed and so focussed our attention on the CDR and all tasks crucial to the CDR submission. Unfortunately due to this constraint, we have decided to postpone the following tasks to be completed after the CDR submission: Aquiring funding &amp; university funding, 3D modelling, Prototyping and Completing full risk assesments &amp; lab packs to gain access to university manufacturing facilities.</t>
  </si>
  <si>
    <t xml:space="preserve">Price Effectiveness </t>
  </si>
  <si>
    <t xml:space="preserve">Weather Resistance </t>
  </si>
  <si>
    <t>Reliability</t>
  </si>
  <si>
    <t>Ease to Implement</t>
  </si>
  <si>
    <t>Radio</t>
  </si>
  <si>
    <t>Bluetooth</t>
  </si>
  <si>
    <t>Wifi</t>
  </si>
  <si>
    <t>Range</t>
  </si>
  <si>
    <t>Speed</t>
  </si>
  <si>
    <t>Bandwidth</t>
  </si>
  <si>
    <t>Weight</t>
  </si>
  <si>
    <t>Legs</t>
  </si>
  <si>
    <t>Omniwheels</t>
  </si>
  <si>
    <t>Bought Suspension</t>
  </si>
  <si>
    <t>Custom Design</t>
  </si>
  <si>
    <t>None</t>
  </si>
  <si>
    <t>Time Effectiveness</t>
  </si>
  <si>
    <t>Springs</t>
  </si>
  <si>
    <t>Dual Axis Crane</t>
  </si>
  <si>
    <t>Robot Arm</t>
  </si>
  <si>
    <t>Scoop</t>
  </si>
  <si>
    <t>Total Weighting</t>
  </si>
  <si>
    <t>Total Score</t>
  </si>
  <si>
    <t>Rank</t>
  </si>
  <si>
    <t>Continue?</t>
  </si>
  <si>
    <t>Selection Criteria - Movement System</t>
  </si>
  <si>
    <t>Selection Criteria - Suspension</t>
  </si>
  <si>
    <t>Selection Criteria - Communication</t>
  </si>
  <si>
    <t>Selection Criteria - Method of Pickup</t>
  </si>
  <si>
    <t>Weight %</t>
  </si>
  <si>
    <t>Precision</t>
  </si>
  <si>
    <t xml:space="preserve">Environment Resistance </t>
  </si>
  <si>
    <t>Shock Absorbtion</t>
  </si>
  <si>
    <t>Wheels (Reference)</t>
  </si>
  <si>
    <t>Bought Suspension (Ref)</t>
  </si>
  <si>
    <t>Robot Arm (Ref)</t>
  </si>
  <si>
    <t>Radio (Ref)</t>
  </si>
  <si>
    <t>Weighted</t>
  </si>
  <si>
    <t>First</t>
  </si>
  <si>
    <t>Second</t>
  </si>
  <si>
    <t>Third</t>
  </si>
  <si>
    <t>Consider</t>
  </si>
  <si>
    <t>No</t>
  </si>
  <si>
    <t>Yes</t>
  </si>
  <si>
    <t>As a backup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</si>
</sst>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6"/>
      <color theme="1"/>
      <name val="Calibri"/>
      <family val="2"/>
      <scheme val="minor"/>
    </font>
    <font>
      <b/>
      <sz val="20"/>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2"/>
        <bgColor indexed="64"/>
      </patternFill>
    </fill>
  </fills>
  <borders count="7">
    <border>
      <left/>
      <right/>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0" xfId="0" applyFont="1"/>
    <xf numFmtId="0" fontId="0" fillId="0" borderId="1" xfId="0" applyBorder="1"/>
    <xf numFmtId="0" fontId="0" fillId="0" borderId="0" xfId="0" applyAlignment="1">
      <alignment horizontal="center"/>
    </xf>
    <xf numFmtId="0" fontId="0" fillId="0" borderId="0" xfId="0" applyAlignment="1">
      <alignment wrapText="1"/>
    </xf>
    <xf numFmtId="0" fontId="0" fillId="0" borderId="4" xfId="0" applyBorder="1"/>
    <xf numFmtId="0" fontId="0" fillId="0" borderId="0" xfId="0" applyBorder="1"/>
    <xf numFmtId="0" fontId="0" fillId="4" borderId="0" xfId="0" applyFill="1"/>
    <xf numFmtId="0" fontId="0" fillId="5" borderId="0" xfId="0" applyFill="1"/>
    <xf numFmtId="0" fontId="0" fillId="6" borderId="0" xfId="0" applyFill="1"/>
    <xf numFmtId="2" fontId="0" fillId="0" borderId="0" xfId="0" applyNumberFormat="1"/>
    <xf numFmtId="2" fontId="1" fillId="0" borderId="0" xfId="0" applyNumberFormat="1" applyFont="1"/>
    <xf numFmtId="2" fontId="0" fillId="0" borderId="0" xfId="0" applyNumberFormat="1" applyAlignment="1">
      <alignment horizontal="left"/>
    </xf>
    <xf numFmtId="2" fontId="0" fillId="0" borderId="0" xfId="0" applyNumberFormat="1" applyAlignment="1">
      <alignment horizontal="center"/>
    </xf>
    <xf numFmtId="0" fontId="1" fillId="0" borderId="0" xfId="0" applyFont="1" applyAlignment="1">
      <alignment wrapText="1"/>
    </xf>
    <xf numFmtId="0" fontId="0" fillId="7" borderId="0" xfId="0" applyFill="1"/>
    <xf numFmtId="0" fontId="3" fillId="0" borderId="0" xfId="0" applyFont="1" applyAlignment="1"/>
    <xf numFmtId="0" fontId="2" fillId="0" borderId="0" xfId="0" applyFont="1" applyAlignment="1"/>
    <xf numFmtId="0" fontId="0" fillId="0" borderId="4" xfId="0" applyBorder="1" applyAlignment="1"/>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xf>
    <xf numFmtId="0" fontId="0" fillId="0" borderId="0" xfId="0" applyFill="1" applyBorder="1"/>
    <xf numFmtId="0" fontId="0" fillId="0" borderId="4" xfId="0" applyFill="1" applyBorder="1"/>
    <xf numFmtId="0" fontId="0" fillId="0" borderId="0" xfId="0" applyBorder="1" applyAlignment="1"/>
    <xf numFmtId="0" fontId="0" fillId="0" borderId="0" xfId="0" applyFill="1" applyBorder="1" applyAlignment="1">
      <alignment horizontal="center"/>
    </xf>
    <xf numFmtId="0" fontId="0" fillId="7" borderId="4" xfId="0" applyFill="1" applyBorder="1"/>
    <xf numFmtId="0" fontId="0" fillId="7" borderId="4" xfId="0" applyFill="1" applyBorder="1" applyAlignment="1">
      <alignment horizontal="left"/>
    </xf>
    <xf numFmtId="0" fontId="0" fillId="0" borderId="4" xfId="0" applyBorder="1" applyAlignment="1">
      <alignment horizontal="left"/>
    </xf>
    <xf numFmtId="0" fontId="0" fillId="0" borderId="0" xfId="0" applyFill="1" applyBorder="1" applyAlignment="1"/>
    <xf numFmtId="0" fontId="0" fillId="0" borderId="4" xfId="0" applyFill="1" applyBorder="1" applyAlignment="1">
      <alignment horizontal="left"/>
    </xf>
    <xf numFmtId="0" fontId="0" fillId="0" borderId="0" xfId="0" applyAlignment="1">
      <alignment horizontal="center" wrapText="1"/>
    </xf>
    <xf numFmtId="0" fontId="0" fillId="0" borderId="0" xfId="0" applyAlignment="1">
      <alignment horizontal="center"/>
    </xf>
    <xf numFmtId="0" fontId="0" fillId="3" borderId="1" xfId="0" applyFill="1" applyBorder="1" applyAlignment="1">
      <alignment horizontal="center"/>
    </xf>
    <xf numFmtId="0" fontId="0" fillId="3" borderId="0" xfId="0" applyFill="1" applyBorder="1" applyAlignment="1">
      <alignment horizontal="center"/>
    </xf>
    <xf numFmtId="0" fontId="0" fillId="0" borderId="6" xfId="0" applyBorder="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0" xfId="0" applyFill="1" applyAlignment="1">
      <alignment horizontal="center"/>
    </xf>
    <xf numFmtId="0" fontId="0" fillId="0" borderId="4" xfId="0" applyBorder="1" applyAlignment="1">
      <alignment horizontal="center"/>
    </xf>
    <xf numFmtId="0" fontId="0" fillId="0" borderId="3" xfId="0" applyBorder="1" applyAlignment="1">
      <alignment horizontal="left"/>
    </xf>
    <xf numFmtId="0" fontId="0" fillId="0" borderId="5" xfId="0" applyBorder="1" applyAlignment="1">
      <alignment horizontal="left"/>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CEBD8-AC44-4516-8B1F-FE638D4A0E37}">
  <dimension ref="B4:S29"/>
  <sheetViews>
    <sheetView workbookViewId="0">
      <selection activeCell="K30" sqref="K30"/>
    </sheetView>
  </sheetViews>
  <sheetFormatPr defaultRowHeight="15" x14ac:dyDescent="0.25"/>
  <cols>
    <col min="9" max="10" width="18.28515625" customWidth="1"/>
    <col min="11" max="11" width="17.85546875" customWidth="1"/>
    <col min="12" max="12" width="27" customWidth="1"/>
    <col min="13" max="13" width="17.7109375" customWidth="1"/>
    <col min="14" max="14" width="11" customWidth="1"/>
  </cols>
  <sheetData>
    <row r="4" spans="2:19" x14ac:dyDescent="0.25">
      <c r="D4" s="38" t="s">
        <v>22</v>
      </c>
      <c r="E4" s="39"/>
      <c r="N4" s="36" t="s">
        <v>21</v>
      </c>
      <c r="O4" s="37"/>
    </row>
    <row r="5" spans="2:19" x14ac:dyDescent="0.25">
      <c r="E5" s="2"/>
      <c r="O5" s="2"/>
    </row>
    <row r="6" spans="2:19" x14ac:dyDescent="0.25">
      <c r="C6" s="1" t="s">
        <v>1</v>
      </c>
      <c r="D6" t="s">
        <v>8</v>
      </c>
      <c r="E6" s="2" t="s">
        <v>9</v>
      </c>
      <c r="F6" t="s">
        <v>10</v>
      </c>
      <c r="G6" t="s">
        <v>11</v>
      </c>
      <c r="H6" t="s">
        <v>12</v>
      </c>
      <c r="I6" t="s">
        <v>13</v>
      </c>
      <c r="J6" s="8" t="s">
        <v>40</v>
      </c>
      <c r="K6" t="s">
        <v>14</v>
      </c>
      <c r="L6" t="s">
        <v>15</v>
      </c>
      <c r="M6" s="7" t="s">
        <v>41</v>
      </c>
      <c r="N6" s="9" t="s">
        <v>38</v>
      </c>
      <c r="O6" s="2" t="s">
        <v>16</v>
      </c>
      <c r="P6" t="s">
        <v>17</v>
      </c>
      <c r="Q6" t="s">
        <v>18</v>
      </c>
      <c r="R6" t="s">
        <v>19</v>
      </c>
      <c r="S6" t="s">
        <v>20</v>
      </c>
    </row>
    <row r="7" spans="2:19" x14ac:dyDescent="0.25">
      <c r="B7" s="1" t="s">
        <v>0</v>
      </c>
      <c r="E7" s="2"/>
      <c r="O7" s="2"/>
    </row>
    <row r="8" spans="2:19" x14ac:dyDescent="0.25">
      <c r="B8" t="s">
        <v>2</v>
      </c>
      <c r="E8" s="33" t="s">
        <v>23</v>
      </c>
      <c r="F8" s="34"/>
      <c r="G8" s="34"/>
      <c r="H8" s="34"/>
      <c r="I8" s="32" t="s">
        <v>28</v>
      </c>
      <c r="J8" s="32"/>
      <c r="K8" s="32" t="s">
        <v>35</v>
      </c>
      <c r="L8" s="32"/>
      <c r="M8" s="32" t="s">
        <v>26</v>
      </c>
      <c r="N8" s="35"/>
      <c r="O8" s="33" t="s">
        <v>33</v>
      </c>
      <c r="P8" s="34"/>
      <c r="Q8" s="34"/>
      <c r="R8" s="34"/>
      <c r="S8" s="34"/>
    </row>
    <row r="9" spans="2:19" x14ac:dyDescent="0.25">
      <c r="B9" t="s">
        <v>3</v>
      </c>
      <c r="E9" s="33"/>
      <c r="F9" s="34"/>
      <c r="G9" s="34"/>
      <c r="H9" s="34"/>
      <c r="I9" s="40" t="s">
        <v>24</v>
      </c>
      <c r="J9" s="40"/>
      <c r="K9" s="40"/>
      <c r="L9" t="s">
        <v>25</v>
      </c>
      <c r="M9" s="32"/>
      <c r="N9" s="35"/>
      <c r="O9" s="33"/>
      <c r="P9" s="34"/>
      <c r="Q9" s="34"/>
      <c r="R9" s="34"/>
      <c r="S9" s="34"/>
    </row>
    <row r="10" spans="2:19" x14ac:dyDescent="0.25">
      <c r="B10" t="s">
        <v>4</v>
      </c>
      <c r="E10" s="33"/>
      <c r="F10" s="34"/>
      <c r="G10" s="34"/>
      <c r="H10" s="34"/>
      <c r="I10" s="32" t="s">
        <v>39</v>
      </c>
      <c r="J10" s="32"/>
      <c r="K10" s="32"/>
      <c r="L10" s="32" t="s">
        <v>30</v>
      </c>
      <c r="M10" s="32"/>
      <c r="N10" s="3" t="s">
        <v>31</v>
      </c>
      <c r="O10" s="33"/>
      <c r="P10" s="34"/>
      <c r="Q10" s="34"/>
      <c r="R10" s="34"/>
      <c r="S10" s="34"/>
    </row>
    <row r="11" spans="2:19" x14ac:dyDescent="0.25">
      <c r="B11" t="s">
        <v>5</v>
      </c>
      <c r="E11" s="33"/>
      <c r="F11" s="34"/>
      <c r="G11" s="34"/>
      <c r="H11" s="34"/>
      <c r="I11" s="32" t="s">
        <v>29</v>
      </c>
      <c r="J11" s="32"/>
      <c r="K11" s="32"/>
      <c r="L11" s="32"/>
      <c r="M11" s="32" t="s">
        <v>31</v>
      </c>
      <c r="N11" s="35"/>
      <c r="O11" s="33"/>
      <c r="P11" s="34"/>
      <c r="Q11" s="34"/>
      <c r="R11" s="34"/>
      <c r="S11" s="34"/>
    </row>
    <row r="12" spans="2:19" x14ac:dyDescent="0.25">
      <c r="B12" t="s">
        <v>6</v>
      </c>
      <c r="E12" s="33"/>
      <c r="F12" s="34"/>
      <c r="G12" s="34"/>
      <c r="H12" s="34"/>
      <c r="I12" s="32" t="s">
        <v>32</v>
      </c>
      <c r="J12" s="32"/>
      <c r="K12" t="s">
        <v>36</v>
      </c>
      <c r="L12" s="32" t="s">
        <v>37</v>
      </c>
      <c r="M12" s="32"/>
      <c r="N12" s="3" t="s">
        <v>31</v>
      </c>
      <c r="O12" s="33"/>
      <c r="P12" s="34"/>
      <c r="Q12" s="34"/>
      <c r="R12" s="34"/>
      <c r="S12" s="34"/>
    </row>
    <row r="13" spans="2:19" x14ac:dyDescent="0.25">
      <c r="B13" t="s">
        <v>7</v>
      </c>
      <c r="E13" s="33"/>
      <c r="F13" s="34"/>
      <c r="G13" s="34"/>
      <c r="H13" s="34"/>
      <c r="I13" s="32"/>
      <c r="J13" s="32"/>
      <c r="K13" s="32" t="s">
        <v>34</v>
      </c>
      <c r="L13" s="32"/>
      <c r="M13" s="32"/>
      <c r="N13" s="3" t="s">
        <v>31</v>
      </c>
      <c r="O13" s="33"/>
      <c r="P13" s="34"/>
      <c r="Q13" s="34"/>
      <c r="R13" s="34"/>
      <c r="S13" s="34"/>
    </row>
    <row r="16" spans="2:19" x14ac:dyDescent="0.25">
      <c r="B16" s="31" t="s">
        <v>27</v>
      </c>
      <c r="C16" s="32"/>
      <c r="D16" s="32"/>
      <c r="E16" s="32"/>
      <c r="F16" s="32"/>
      <c r="G16" s="32"/>
      <c r="H16" s="32"/>
      <c r="I16" s="32"/>
      <c r="J16" s="32"/>
      <c r="K16" s="32"/>
      <c r="L16" s="32"/>
      <c r="M16" s="32"/>
      <c r="N16" s="32"/>
      <c r="O16" s="32"/>
      <c r="P16" s="32"/>
      <c r="Q16" s="32"/>
      <c r="R16" s="32"/>
      <c r="S16" s="32"/>
    </row>
    <row r="17" spans="2:19" x14ac:dyDescent="0.25">
      <c r="B17" s="32"/>
      <c r="C17" s="32"/>
      <c r="D17" s="32"/>
      <c r="E17" s="32"/>
      <c r="F17" s="32"/>
      <c r="G17" s="32"/>
      <c r="H17" s="32"/>
      <c r="I17" s="32"/>
      <c r="J17" s="32"/>
      <c r="K17" s="32"/>
      <c r="L17" s="32"/>
      <c r="M17" s="32"/>
      <c r="N17" s="32"/>
      <c r="O17" s="32"/>
      <c r="P17" s="32"/>
      <c r="Q17" s="32"/>
      <c r="R17" s="32"/>
      <c r="S17" s="32"/>
    </row>
    <row r="18" spans="2:19" x14ac:dyDescent="0.25">
      <c r="B18" s="32"/>
      <c r="C18" s="32"/>
      <c r="D18" s="32"/>
      <c r="E18" s="32"/>
      <c r="F18" s="32"/>
      <c r="G18" s="32"/>
      <c r="H18" s="32"/>
      <c r="I18" s="32"/>
      <c r="J18" s="32"/>
      <c r="K18" s="32"/>
      <c r="L18" s="32"/>
      <c r="M18" s="32"/>
      <c r="N18" s="32"/>
      <c r="O18" s="32"/>
      <c r="P18" s="32"/>
      <c r="Q18" s="32"/>
      <c r="R18" s="32"/>
      <c r="S18" s="32"/>
    </row>
    <row r="19" spans="2:19" x14ac:dyDescent="0.25">
      <c r="B19" s="32"/>
      <c r="C19" s="32"/>
      <c r="D19" s="32"/>
      <c r="E19" s="32"/>
      <c r="F19" s="32"/>
      <c r="G19" s="32"/>
      <c r="H19" s="32"/>
      <c r="I19" s="32"/>
      <c r="J19" s="32"/>
      <c r="K19" s="32"/>
      <c r="L19" s="32"/>
      <c r="M19" s="32"/>
      <c r="N19" s="32"/>
      <c r="O19" s="32"/>
      <c r="P19" s="32"/>
      <c r="Q19" s="32"/>
      <c r="R19" s="32"/>
      <c r="S19" s="32"/>
    </row>
    <row r="21" spans="2:19" x14ac:dyDescent="0.25">
      <c r="B21" s="31" t="s">
        <v>102</v>
      </c>
      <c r="C21" s="32"/>
      <c r="D21" s="32"/>
      <c r="E21" s="32"/>
      <c r="F21" s="32"/>
      <c r="G21" s="32"/>
      <c r="H21" s="32"/>
      <c r="I21" s="32"/>
      <c r="J21" s="32"/>
      <c r="K21" s="32"/>
      <c r="L21" s="32"/>
      <c r="M21" s="32"/>
      <c r="N21" s="32"/>
      <c r="O21" s="32"/>
      <c r="P21" s="32"/>
      <c r="Q21" s="32"/>
      <c r="R21" s="32"/>
      <c r="S21" s="32"/>
    </row>
    <row r="22" spans="2:19" x14ac:dyDescent="0.25">
      <c r="B22" s="32"/>
      <c r="C22" s="32"/>
      <c r="D22" s="32"/>
      <c r="E22" s="32"/>
      <c r="F22" s="32"/>
      <c r="G22" s="32"/>
      <c r="H22" s="32"/>
      <c r="I22" s="32"/>
      <c r="J22" s="32"/>
      <c r="K22" s="32"/>
      <c r="L22" s="32"/>
      <c r="M22" s="32"/>
      <c r="N22" s="32"/>
      <c r="O22" s="32"/>
      <c r="P22" s="32"/>
      <c r="Q22" s="32"/>
      <c r="R22" s="32"/>
      <c r="S22" s="32"/>
    </row>
    <row r="23" spans="2:19" x14ac:dyDescent="0.25">
      <c r="B23" s="32"/>
      <c r="C23" s="32"/>
      <c r="D23" s="32"/>
      <c r="E23" s="32"/>
      <c r="F23" s="32"/>
      <c r="G23" s="32"/>
      <c r="H23" s="32"/>
      <c r="I23" s="32"/>
      <c r="J23" s="32"/>
      <c r="K23" s="32"/>
      <c r="L23" s="32"/>
      <c r="M23" s="32"/>
      <c r="N23" s="32"/>
      <c r="O23" s="32"/>
      <c r="P23" s="32"/>
      <c r="Q23" s="32"/>
      <c r="R23" s="32"/>
      <c r="S23" s="32"/>
    </row>
    <row r="24" spans="2:19" x14ac:dyDescent="0.25">
      <c r="B24" s="32"/>
      <c r="C24" s="32"/>
      <c r="D24" s="32"/>
      <c r="E24" s="32"/>
      <c r="F24" s="32"/>
      <c r="G24" s="32"/>
      <c r="H24" s="32"/>
      <c r="I24" s="32"/>
      <c r="J24" s="32"/>
      <c r="K24" s="32"/>
      <c r="L24" s="32"/>
      <c r="M24" s="32"/>
      <c r="N24" s="32"/>
      <c r="O24" s="32"/>
      <c r="P24" s="32"/>
      <c r="Q24" s="32"/>
      <c r="R24" s="32"/>
      <c r="S24" s="32"/>
    </row>
    <row r="26" spans="2:19" x14ac:dyDescent="0.25">
      <c r="B26" t="s">
        <v>103</v>
      </c>
      <c r="E26" s="31" t="s">
        <v>104</v>
      </c>
      <c r="F26" s="32"/>
      <c r="G26" s="32"/>
      <c r="H26" s="32"/>
      <c r="I26" s="32"/>
      <c r="J26" s="32"/>
      <c r="K26" s="32"/>
      <c r="L26" s="32"/>
      <c r="M26" s="32"/>
      <c r="N26" s="32"/>
      <c r="O26" s="32"/>
      <c r="P26" s="32"/>
      <c r="Q26" s="32"/>
      <c r="R26" s="32"/>
      <c r="S26" s="32"/>
    </row>
    <row r="27" spans="2:19" x14ac:dyDescent="0.25">
      <c r="E27" s="32"/>
      <c r="F27" s="32"/>
      <c r="G27" s="32"/>
      <c r="H27" s="32"/>
      <c r="I27" s="32"/>
      <c r="J27" s="32"/>
      <c r="K27" s="32"/>
      <c r="L27" s="32"/>
      <c r="M27" s="32"/>
      <c r="N27" s="32"/>
      <c r="O27" s="32"/>
      <c r="P27" s="32"/>
      <c r="Q27" s="32"/>
      <c r="R27" s="32"/>
      <c r="S27" s="32"/>
    </row>
    <row r="28" spans="2:19" x14ac:dyDescent="0.25">
      <c r="E28" s="32"/>
      <c r="F28" s="32"/>
      <c r="G28" s="32"/>
      <c r="H28" s="32"/>
      <c r="I28" s="32"/>
      <c r="J28" s="32"/>
      <c r="K28" s="32"/>
      <c r="L28" s="32"/>
      <c r="M28" s="32"/>
      <c r="N28" s="32"/>
      <c r="O28" s="32"/>
      <c r="P28" s="32"/>
      <c r="Q28" s="32"/>
      <c r="R28" s="32"/>
      <c r="S28" s="32"/>
    </row>
    <row r="29" spans="2:19" x14ac:dyDescent="0.25">
      <c r="E29" s="32"/>
      <c r="F29" s="32"/>
      <c r="G29" s="32"/>
      <c r="H29" s="32"/>
      <c r="I29" s="32"/>
      <c r="J29" s="32"/>
      <c r="K29" s="32"/>
      <c r="L29" s="32"/>
      <c r="M29" s="32"/>
      <c r="N29" s="32"/>
      <c r="O29" s="32"/>
      <c r="P29" s="32"/>
      <c r="Q29" s="32"/>
      <c r="R29" s="32"/>
      <c r="S29" s="32"/>
    </row>
  </sheetData>
  <mergeCells count="18">
    <mergeCell ref="N4:O4"/>
    <mergeCell ref="D4:E4"/>
    <mergeCell ref="E8:H13"/>
    <mergeCell ref="B16:S19"/>
    <mergeCell ref="I8:J8"/>
    <mergeCell ref="K8:L8"/>
    <mergeCell ref="I9:K9"/>
    <mergeCell ref="M8:N9"/>
    <mergeCell ref="I11:L11"/>
    <mergeCell ref="E26:S29"/>
    <mergeCell ref="O8:S13"/>
    <mergeCell ref="K13:M13"/>
    <mergeCell ref="L12:M12"/>
    <mergeCell ref="B21:S24"/>
    <mergeCell ref="L10:M10"/>
    <mergeCell ref="M11:N11"/>
    <mergeCell ref="I10:K10"/>
    <mergeCell ref="I12:J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AD42B-E67D-4CA7-A157-CE646CA60585}">
  <dimension ref="A3:Y56"/>
  <sheetViews>
    <sheetView tabSelected="1" topLeftCell="A19" zoomScaleNormal="100" workbookViewId="0">
      <selection activeCell="E34" sqref="E34"/>
    </sheetView>
  </sheetViews>
  <sheetFormatPr defaultRowHeight="15" x14ac:dyDescent="0.25"/>
  <cols>
    <col min="1" max="1" width="9.140625" style="10"/>
    <col min="2" max="2" width="36.5703125" customWidth="1"/>
  </cols>
  <sheetData>
    <row r="3" spans="1:25" x14ac:dyDescent="0.25">
      <c r="C3" s="38" t="s">
        <v>21</v>
      </c>
      <c r="D3" s="39"/>
      <c r="J3" s="32" t="s">
        <v>60</v>
      </c>
      <c r="K3" s="32"/>
      <c r="Q3" s="38" t="s">
        <v>59</v>
      </c>
      <c r="R3" s="39"/>
    </row>
    <row r="4" spans="1:25" x14ac:dyDescent="0.25">
      <c r="D4" s="2"/>
      <c r="K4" s="2"/>
      <c r="R4" s="2"/>
    </row>
    <row r="5" spans="1:25" x14ac:dyDescent="0.25">
      <c r="C5" s="1" t="s">
        <v>1</v>
      </c>
      <c r="D5" s="2" t="s">
        <v>16</v>
      </c>
      <c r="E5" t="s">
        <v>17</v>
      </c>
      <c r="F5" t="s">
        <v>18</v>
      </c>
      <c r="G5" t="s">
        <v>19</v>
      </c>
      <c r="H5" t="s">
        <v>20</v>
      </c>
      <c r="I5" t="s">
        <v>42</v>
      </c>
      <c r="J5" t="s">
        <v>43</v>
      </c>
      <c r="K5" s="2" t="s">
        <v>44</v>
      </c>
      <c r="L5" t="s">
        <v>45</v>
      </c>
      <c r="M5" t="s">
        <v>46</v>
      </c>
      <c r="N5" t="s">
        <v>47</v>
      </c>
      <c r="O5" t="s">
        <v>48</v>
      </c>
      <c r="P5" t="s">
        <v>49</v>
      </c>
      <c r="Q5" t="s">
        <v>50</v>
      </c>
      <c r="R5" s="2" t="s">
        <v>51</v>
      </c>
      <c r="S5" t="s">
        <v>52</v>
      </c>
      <c r="T5" t="s">
        <v>53</v>
      </c>
      <c r="U5" t="s">
        <v>54</v>
      </c>
      <c r="V5" t="s">
        <v>55</v>
      </c>
      <c r="W5" t="s">
        <v>56</v>
      </c>
      <c r="X5" t="s">
        <v>57</v>
      </c>
      <c r="Y5" t="s">
        <v>58</v>
      </c>
    </row>
    <row r="6" spans="1:25" x14ac:dyDescent="0.25">
      <c r="A6" s="11" t="s">
        <v>61</v>
      </c>
      <c r="B6" s="1" t="s">
        <v>62</v>
      </c>
    </row>
    <row r="7" spans="1:25" x14ac:dyDescent="0.25">
      <c r="A7" s="12">
        <v>1</v>
      </c>
      <c r="B7" t="s">
        <v>63</v>
      </c>
    </row>
    <row r="8" spans="1:25" x14ac:dyDescent="0.25">
      <c r="A8" s="13">
        <v>1.1000000000000001</v>
      </c>
      <c r="B8" s="1" t="s">
        <v>75</v>
      </c>
    </row>
    <row r="9" spans="1:25" x14ac:dyDescent="0.25">
      <c r="A9" s="10">
        <v>1.1100000000000001</v>
      </c>
      <c r="B9" t="s">
        <v>68</v>
      </c>
      <c r="C9" s="15"/>
      <c r="D9" s="15"/>
    </row>
    <row r="10" spans="1:25" x14ac:dyDescent="0.25">
      <c r="A10" s="10">
        <v>1.1200000000000001</v>
      </c>
      <c r="B10" t="s">
        <v>67</v>
      </c>
      <c r="D10" s="15"/>
    </row>
    <row r="11" spans="1:25" x14ac:dyDescent="0.25">
      <c r="A11" s="10">
        <v>1.1299999999999999</v>
      </c>
      <c r="B11" t="s">
        <v>69</v>
      </c>
      <c r="D11" s="15"/>
    </row>
    <row r="12" spans="1:25" ht="30" customHeight="1" x14ac:dyDescent="0.25">
      <c r="A12" s="10">
        <v>1.1399999999999999</v>
      </c>
      <c r="B12" s="4" t="s">
        <v>72</v>
      </c>
      <c r="D12" s="15"/>
    </row>
    <row r="13" spans="1:25" x14ac:dyDescent="0.25">
      <c r="A13" s="10">
        <v>1.1499999999999999</v>
      </c>
      <c r="B13" t="s">
        <v>94</v>
      </c>
      <c r="D13" s="15"/>
      <c r="E13" s="15"/>
    </row>
    <row r="14" spans="1:25" x14ac:dyDescent="0.25">
      <c r="A14" s="13">
        <v>1.2</v>
      </c>
      <c r="B14" s="1" t="s">
        <v>70</v>
      </c>
    </row>
    <row r="15" spans="1:25" ht="30" customHeight="1" x14ac:dyDescent="0.25">
      <c r="A15" s="10">
        <v>1.21</v>
      </c>
      <c r="B15" s="4" t="s">
        <v>74</v>
      </c>
    </row>
    <row r="16" spans="1:25" ht="30" x14ac:dyDescent="0.25">
      <c r="A16" s="10">
        <v>1.22</v>
      </c>
      <c r="B16" s="4" t="s">
        <v>71</v>
      </c>
    </row>
    <row r="17" spans="1:2" ht="30" x14ac:dyDescent="0.25">
      <c r="A17" s="10">
        <v>1.23</v>
      </c>
      <c r="B17" s="4" t="s">
        <v>73</v>
      </c>
    </row>
    <row r="18" spans="1:2" ht="30" x14ac:dyDescent="0.25">
      <c r="A18" s="10">
        <v>1.24</v>
      </c>
      <c r="B18" s="4" t="s">
        <v>80</v>
      </c>
    </row>
    <row r="19" spans="1:2" x14ac:dyDescent="0.25">
      <c r="A19" s="13">
        <v>1.3</v>
      </c>
      <c r="B19" s="14" t="s">
        <v>76</v>
      </c>
    </row>
    <row r="20" spans="1:2" x14ac:dyDescent="0.25">
      <c r="A20" s="10">
        <v>1.31</v>
      </c>
      <c r="B20" s="4" t="s">
        <v>77</v>
      </c>
    </row>
    <row r="21" spans="1:2" ht="30" x14ac:dyDescent="0.25">
      <c r="A21" s="10">
        <v>1.32</v>
      </c>
      <c r="B21" s="4" t="s">
        <v>78</v>
      </c>
    </row>
    <row r="22" spans="1:2" x14ac:dyDescent="0.25">
      <c r="A22" s="10">
        <v>1.33</v>
      </c>
      <c r="B22" s="4" t="s">
        <v>79</v>
      </c>
    </row>
    <row r="23" spans="1:2" x14ac:dyDescent="0.25">
      <c r="A23" s="13">
        <v>1.4</v>
      </c>
      <c r="B23" s="14" t="s">
        <v>81</v>
      </c>
    </row>
    <row r="24" spans="1:2" x14ac:dyDescent="0.25">
      <c r="A24" s="10">
        <v>1.41</v>
      </c>
      <c r="B24" s="4" t="s">
        <v>82</v>
      </c>
    </row>
    <row r="25" spans="1:2" x14ac:dyDescent="0.25">
      <c r="A25" s="10">
        <v>1.42</v>
      </c>
      <c r="B25" s="4" t="s">
        <v>83</v>
      </c>
    </row>
    <row r="26" spans="1:2" x14ac:dyDescent="0.25">
      <c r="A26" s="12">
        <v>2</v>
      </c>
      <c r="B26" s="4" t="s">
        <v>64</v>
      </c>
    </row>
    <row r="27" spans="1:2" x14ac:dyDescent="0.25">
      <c r="A27" s="13">
        <v>2.1</v>
      </c>
      <c r="B27" s="14" t="s">
        <v>84</v>
      </c>
    </row>
    <row r="28" spans="1:2" x14ac:dyDescent="0.25">
      <c r="A28" s="10">
        <v>2.11</v>
      </c>
      <c r="B28" s="4" t="s">
        <v>85</v>
      </c>
    </row>
    <row r="29" spans="1:2" x14ac:dyDescent="0.25">
      <c r="A29" s="10">
        <v>2.12</v>
      </c>
      <c r="B29" s="4" t="s">
        <v>86</v>
      </c>
    </row>
    <row r="30" spans="1:2" x14ac:dyDescent="0.25">
      <c r="A30" s="10">
        <v>2.13</v>
      </c>
      <c r="B30" s="4" t="s">
        <v>87</v>
      </c>
    </row>
    <row r="31" spans="1:2" x14ac:dyDescent="0.25">
      <c r="A31" s="10">
        <v>2.14</v>
      </c>
      <c r="B31" s="4" t="s">
        <v>88</v>
      </c>
    </row>
    <row r="32" spans="1:2" x14ac:dyDescent="0.25">
      <c r="A32" s="10">
        <v>2.15</v>
      </c>
      <c r="B32" s="4" t="s">
        <v>89</v>
      </c>
    </row>
    <row r="33" spans="1:2" x14ac:dyDescent="0.25">
      <c r="A33" s="10">
        <v>2.16</v>
      </c>
      <c r="B33" s="4" t="s">
        <v>90</v>
      </c>
    </row>
    <row r="34" spans="1:2" x14ac:dyDescent="0.25">
      <c r="A34" s="10">
        <v>2.17</v>
      </c>
      <c r="B34" s="4" t="s">
        <v>91</v>
      </c>
    </row>
    <row r="35" spans="1:2" x14ac:dyDescent="0.25">
      <c r="A35" s="13">
        <v>2.2000000000000002</v>
      </c>
      <c r="B35" s="14" t="s">
        <v>92</v>
      </c>
    </row>
    <row r="36" spans="1:2" x14ac:dyDescent="0.25">
      <c r="A36" s="10">
        <v>2.21</v>
      </c>
      <c r="B36" s="4" t="s">
        <v>85</v>
      </c>
    </row>
    <row r="37" spans="1:2" x14ac:dyDescent="0.25">
      <c r="A37" s="10">
        <v>2.2200000000000002</v>
      </c>
      <c r="B37" s="4" t="s">
        <v>86</v>
      </c>
    </row>
    <row r="38" spans="1:2" x14ac:dyDescent="0.25">
      <c r="A38" s="10">
        <v>2.23</v>
      </c>
      <c r="B38" s="4" t="s">
        <v>87</v>
      </c>
    </row>
    <row r="39" spans="1:2" x14ac:dyDescent="0.25">
      <c r="A39" s="10">
        <v>2.2400000000000002</v>
      </c>
      <c r="B39" s="4" t="s">
        <v>88</v>
      </c>
    </row>
    <row r="40" spans="1:2" x14ac:dyDescent="0.25">
      <c r="A40" s="10">
        <v>2.25</v>
      </c>
      <c r="B40" s="4" t="s">
        <v>89</v>
      </c>
    </row>
    <row r="41" spans="1:2" x14ac:dyDescent="0.25">
      <c r="A41" s="10">
        <v>2.2599999999999998</v>
      </c>
      <c r="B41" s="4" t="s">
        <v>90</v>
      </c>
    </row>
    <row r="42" spans="1:2" x14ac:dyDescent="0.25">
      <c r="A42" s="10">
        <v>2.27</v>
      </c>
      <c r="B42" s="4" t="s">
        <v>93</v>
      </c>
    </row>
    <row r="44" spans="1:2" x14ac:dyDescent="0.25">
      <c r="A44" s="12">
        <v>3</v>
      </c>
      <c r="B44" t="s">
        <v>66</v>
      </c>
    </row>
    <row r="56" spans="1:2" x14ac:dyDescent="0.25">
      <c r="A56" s="12">
        <v>4</v>
      </c>
      <c r="B56" t="s">
        <v>65</v>
      </c>
    </row>
  </sheetData>
  <mergeCells count="3">
    <mergeCell ref="C3:D3"/>
    <mergeCell ref="Q3:R3"/>
    <mergeCell ref="J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CCB4-98C9-49AC-93BC-F5333EA890F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1778-D6D1-4CF0-93E9-441642C73088}">
  <dimension ref="B2:S29"/>
  <sheetViews>
    <sheetView workbookViewId="0">
      <selection activeCell="L30" sqref="L30"/>
    </sheetView>
  </sheetViews>
  <sheetFormatPr defaultRowHeight="15" x14ac:dyDescent="0.25"/>
  <cols>
    <col min="2" max="3" width="19.7109375" customWidth="1"/>
    <col min="4" max="4" width="9.7109375" customWidth="1"/>
    <col min="5" max="5" width="19.7109375" customWidth="1"/>
    <col min="6" max="6" width="9.7109375" customWidth="1"/>
    <col min="7" max="7" width="19.7109375" customWidth="1"/>
    <col min="8" max="8" width="9.7109375" customWidth="1"/>
    <col min="9" max="9" width="19.7109375" customWidth="1"/>
    <col min="10" max="10" width="9.7109375" customWidth="1"/>
    <col min="11" max="11" width="19.7109375" customWidth="1"/>
    <col min="12" max="12" width="9.7109375" customWidth="1"/>
    <col min="13" max="13" width="19.7109375" customWidth="1"/>
    <col min="14" max="14" width="9.7109375" customWidth="1"/>
    <col min="15" max="15" width="19.7109375" customWidth="1"/>
    <col min="16" max="16" width="9.7109375" customWidth="1"/>
    <col min="17" max="17" width="19.7109375" customWidth="1"/>
    <col min="18" max="18" width="9.7109375" customWidth="1"/>
    <col min="19" max="21" width="19.7109375" customWidth="1"/>
  </cols>
  <sheetData>
    <row r="2" spans="2:19" ht="15" customHeight="1" x14ac:dyDescent="0.4">
      <c r="B2" s="16" t="s">
        <v>95</v>
      </c>
      <c r="C2" s="17"/>
      <c r="D2" s="17"/>
      <c r="E2" s="17"/>
      <c r="F2" s="17"/>
      <c r="G2" s="17"/>
      <c r="H2" s="17"/>
      <c r="I2" s="17"/>
      <c r="J2" s="17"/>
      <c r="K2" s="17"/>
      <c r="L2" s="17"/>
      <c r="M2" s="17"/>
      <c r="N2" s="17"/>
      <c r="O2" s="17"/>
      <c r="P2" s="17"/>
      <c r="Q2" s="17"/>
      <c r="R2" s="17"/>
      <c r="S2" s="17"/>
    </row>
    <row r="3" spans="2:19" ht="15" customHeight="1" x14ac:dyDescent="0.35">
      <c r="B3" s="17"/>
      <c r="C3" s="17"/>
      <c r="D3" s="17"/>
      <c r="E3" s="17"/>
      <c r="F3" s="17"/>
      <c r="G3" s="17"/>
      <c r="H3" s="17"/>
      <c r="I3" s="17"/>
      <c r="J3" s="17"/>
      <c r="K3" s="17"/>
      <c r="L3" s="17"/>
      <c r="M3" s="17"/>
      <c r="N3" s="17"/>
      <c r="O3" s="17"/>
      <c r="P3" s="17"/>
      <c r="Q3" s="17"/>
      <c r="R3" s="17"/>
      <c r="S3" s="17"/>
    </row>
    <row r="5" spans="2:19" x14ac:dyDescent="0.25">
      <c r="B5" s="18"/>
      <c r="C5" s="19" t="s">
        <v>108</v>
      </c>
      <c r="D5" s="19" t="s">
        <v>115</v>
      </c>
      <c r="E5" s="19" t="s">
        <v>105</v>
      </c>
      <c r="F5" s="19" t="s">
        <v>115</v>
      </c>
      <c r="G5" s="19" t="s">
        <v>98</v>
      </c>
      <c r="H5" s="19" t="s">
        <v>115</v>
      </c>
      <c r="I5" s="19" t="s">
        <v>121</v>
      </c>
      <c r="J5" s="19" t="s">
        <v>115</v>
      </c>
      <c r="K5" s="19" t="s">
        <v>106</v>
      </c>
      <c r="L5" s="19" t="s">
        <v>115</v>
      </c>
      <c r="M5" s="19" t="s">
        <v>97</v>
      </c>
      <c r="N5" s="19" t="s">
        <v>115</v>
      </c>
      <c r="O5" s="19" t="s">
        <v>99</v>
      </c>
      <c r="P5" s="20"/>
    </row>
    <row r="6" spans="2:19" x14ac:dyDescent="0.25">
      <c r="B6" s="5" t="s">
        <v>96</v>
      </c>
      <c r="C6" s="5"/>
      <c r="D6" s="5"/>
      <c r="E6" s="5"/>
      <c r="F6" s="5"/>
      <c r="G6" s="5"/>
      <c r="H6" s="5"/>
      <c r="I6" s="5"/>
      <c r="J6" s="5"/>
      <c r="K6" s="5"/>
      <c r="L6" s="5"/>
      <c r="M6" s="5"/>
      <c r="N6" s="5"/>
      <c r="O6" s="5"/>
      <c r="P6" s="6"/>
    </row>
    <row r="7" spans="2:19" x14ac:dyDescent="0.25">
      <c r="B7" s="5" t="s">
        <v>87</v>
      </c>
      <c r="C7" s="5"/>
      <c r="D7" s="5"/>
      <c r="E7" s="5"/>
      <c r="F7" s="5"/>
      <c r="G7" s="5"/>
      <c r="H7" s="5"/>
      <c r="I7" s="5"/>
      <c r="J7" s="5"/>
      <c r="K7" s="5"/>
      <c r="L7" s="5"/>
      <c r="M7" s="5"/>
      <c r="N7" s="5"/>
      <c r="O7" s="5"/>
      <c r="P7" s="6"/>
    </row>
    <row r="8" spans="2:19" x14ac:dyDescent="0.25">
      <c r="B8" s="5" t="s">
        <v>116</v>
      </c>
      <c r="C8" s="5"/>
      <c r="D8" s="5"/>
      <c r="E8" s="5"/>
      <c r="F8" s="5"/>
      <c r="G8" s="5"/>
      <c r="H8" s="5"/>
      <c r="I8" s="5"/>
      <c r="J8" s="5"/>
      <c r="K8" s="5"/>
      <c r="L8" s="5"/>
      <c r="M8" s="5"/>
      <c r="N8" s="5"/>
      <c r="O8" s="5"/>
    </row>
    <row r="9" spans="2:19" x14ac:dyDescent="0.25">
      <c r="B9" s="5" t="s">
        <v>117</v>
      </c>
      <c r="C9" s="5"/>
      <c r="D9" s="5"/>
      <c r="E9" s="5"/>
      <c r="F9" s="5"/>
      <c r="G9" s="5"/>
      <c r="H9" s="5"/>
      <c r="I9" s="5"/>
      <c r="J9" s="5"/>
      <c r="K9" s="5"/>
      <c r="L9" s="5"/>
      <c r="M9" s="5"/>
      <c r="N9" s="5"/>
      <c r="O9" s="5"/>
    </row>
    <row r="11" spans="2:19" x14ac:dyDescent="0.25">
      <c r="B11" s="18"/>
      <c r="C11" s="19" t="s">
        <v>108</v>
      </c>
      <c r="D11" s="19" t="s">
        <v>115</v>
      </c>
      <c r="E11" s="19" t="s">
        <v>105</v>
      </c>
      <c r="F11" s="19" t="s">
        <v>115</v>
      </c>
      <c r="G11" s="19" t="s">
        <v>98</v>
      </c>
      <c r="H11" s="19" t="s">
        <v>115</v>
      </c>
      <c r="I11" s="19" t="s">
        <v>121</v>
      </c>
      <c r="J11" s="19" t="s">
        <v>115</v>
      </c>
      <c r="K11" s="21" t="s">
        <v>107</v>
      </c>
      <c r="L11" s="21" t="s">
        <v>115</v>
      </c>
      <c r="M11" s="19" t="s">
        <v>99</v>
      </c>
    </row>
    <row r="12" spans="2:19" x14ac:dyDescent="0.25">
      <c r="B12" s="5" t="s">
        <v>118</v>
      </c>
      <c r="C12" s="5"/>
      <c r="D12" s="5"/>
      <c r="E12" s="5"/>
      <c r="F12" s="5"/>
      <c r="G12" s="5"/>
      <c r="H12" s="5"/>
      <c r="I12" s="5"/>
      <c r="J12" s="5"/>
      <c r="K12" s="5"/>
      <c r="L12" s="5"/>
      <c r="M12" s="5"/>
    </row>
    <row r="13" spans="2:19" x14ac:dyDescent="0.25">
      <c r="B13" s="5" t="s">
        <v>119</v>
      </c>
      <c r="C13" s="5"/>
      <c r="D13" s="5"/>
      <c r="E13" s="5"/>
      <c r="F13" s="5"/>
      <c r="G13" s="5"/>
      <c r="H13" s="5"/>
      <c r="I13" s="5"/>
      <c r="J13" s="5"/>
      <c r="K13" s="5"/>
      <c r="L13" s="5"/>
      <c r="M13" s="5"/>
    </row>
    <row r="14" spans="2:19" x14ac:dyDescent="0.25">
      <c r="B14" s="23" t="s">
        <v>122</v>
      </c>
      <c r="C14" s="5"/>
      <c r="D14" s="5"/>
      <c r="E14" s="5"/>
      <c r="F14" s="5"/>
      <c r="G14" s="5"/>
      <c r="H14" s="5"/>
      <c r="I14" s="5"/>
      <c r="J14" s="5"/>
      <c r="K14" s="5"/>
      <c r="L14" s="5"/>
      <c r="M14" s="5"/>
      <c r="N14" s="20"/>
      <c r="O14" s="20"/>
      <c r="P14" s="20"/>
    </row>
    <row r="15" spans="2:19" x14ac:dyDescent="0.25">
      <c r="B15" s="23" t="s">
        <v>120</v>
      </c>
      <c r="C15" s="5"/>
      <c r="D15" s="5"/>
      <c r="E15" s="5"/>
      <c r="F15" s="5"/>
      <c r="G15" s="5"/>
      <c r="H15" s="5"/>
      <c r="I15" s="5"/>
      <c r="J15" s="5"/>
      <c r="K15" s="5"/>
      <c r="L15" s="5"/>
      <c r="M15" s="5"/>
      <c r="N15" s="6"/>
      <c r="O15" s="6"/>
      <c r="P15" s="6"/>
    </row>
    <row r="16" spans="2:19" x14ac:dyDescent="0.25">
      <c r="N16" s="6"/>
      <c r="O16" s="6"/>
      <c r="P16" s="6"/>
    </row>
    <row r="17" spans="2:19" x14ac:dyDescent="0.25">
      <c r="B17" s="18"/>
      <c r="C17" s="19" t="s">
        <v>108</v>
      </c>
      <c r="D17" s="19" t="s">
        <v>115</v>
      </c>
      <c r="E17" s="19" t="s">
        <v>105</v>
      </c>
      <c r="F17" s="19" t="s">
        <v>115</v>
      </c>
      <c r="G17" s="19" t="s">
        <v>107</v>
      </c>
      <c r="H17" s="19" t="s">
        <v>115</v>
      </c>
      <c r="I17" s="19" t="s">
        <v>121</v>
      </c>
      <c r="J17" s="19" t="s">
        <v>115</v>
      </c>
      <c r="K17" s="21" t="s">
        <v>112</v>
      </c>
      <c r="L17" s="21" t="s">
        <v>115</v>
      </c>
      <c r="M17" s="21" t="s">
        <v>113</v>
      </c>
      <c r="N17" s="21" t="s">
        <v>115</v>
      </c>
      <c r="O17" s="21" t="s">
        <v>114</v>
      </c>
      <c r="P17" s="21" t="s">
        <v>115</v>
      </c>
      <c r="Q17" s="19" t="s">
        <v>99</v>
      </c>
    </row>
    <row r="18" spans="2:19" x14ac:dyDescent="0.25">
      <c r="B18" s="5" t="s">
        <v>109</v>
      </c>
      <c r="C18" s="5"/>
      <c r="D18" s="5"/>
      <c r="E18" s="5"/>
      <c r="F18" s="5"/>
      <c r="G18" s="5"/>
      <c r="H18" s="5"/>
      <c r="I18" s="5"/>
      <c r="J18" s="5"/>
      <c r="K18" s="5"/>
      <c r="L18" s="5"/>
      <c r="M18" s="5"/>
      <c r="N18" s="5"/>
      <c r="O18" s="5"/>
      <c r="P18" s="5"/>
      <c r="Q18" s="5"/>
      <c r="R18" s="25"/>
      <c r="S18" s="20"/>
    </row>
    <row r="19" spans="2:19" x14ac:dyDescent="0.25">
      <c r="B19" s="5" t="s">
        <v>110</v>
      </c>
      <c r="C19" s="5"/>
      <c r="D19" s="5"/>
      <c r="E19" s="5"/>
      <c r="F19" s="5"/>
      <c r="G19" s="5"/>
      <c r="H19" s="5"/>
      <c r="I19" s="5"/>
      <c r="J19" s="5"/>
      <c r="K19" s="5"/>
      <c r="L19" s="5"/>
      <c r="M19" s="5"/>
      <c r="N19" s="5"/>
      <c r="O19" s="5"/>
      <c r="P19" s="5"/>
      <c r="Q19" s="5"/>
      <c r="R19" s="6"/>
      <c r="S19" s="6"/>
    </row>
    <row r="20" spans="2:19" x14ac:dyDescent="0.25">
      <c r="B20" s="5" t="s">
        <v>111</v>
      </c>
      <c r="C20" s="5"/>
      <c r="D20" s="5"/>
      <c r="E20" s="5"/>
      <c r="F20" s="5"/>
      <c r="G20" s="5"/>
      <c r="H20" s="5"/>
      <c r="I20" s="5"/>
      <c r="J20" s="5"/>
      <c r="K20" s="5"/>
      <c r="L20" s="5"/>
      <c r="M20" s="5"/>
      <c r="N20" s="5"/>
      <c r="O20" s="5"/>
      <c r="P20" s="5"/>
      <c r="Q20" s="5"/>
      <c r="R20" s="6"/>
      <c r="S20" s="6"/>
    </row>
    <row r="22" spans="2:19" x14ac:dyDescent="0.25">
      <c r="B22" s="18"/>
      <c r="C22" s="19" t="s">
        <v>108</v>
      </c>
      <c r="D22" s="19" t="s">
        <v>115</v>
      </c>
      <c r="E22" s="19" t="s">
        <v>105</v>
      </c>
      <c r="F22" s="19" t="s">
        <v>115</v>
      </c>
      <c r="G22" s="19" t="s">
        <v>98</v>
      </c>
      <c r="H22" s="19" t="s">
        <v>115</v>
      </c>
      <c r="I22" s="19" t="s">
        <v>121</v>
      </c>
      <c r="J22" s="19" t="s">
        <v>115</v>
      </c>
      <c r="K22" s="21" t="s">
        <v>107</v>
      </c>
      <c r="L22" s="21" t="s">
        <v>115</v>
      </c>
      <c r="M22" s="19" t="s">
        <v>99</v>
      </c>
      <c r="R22" s="20"/>
    </row>
    <row r="23" spans="2:19" x14ac:dyDescent="0.25">
      <c r="B23" s="5" t="s">
        <v>123</v>
      </c>
      <c r="C23" s="5"/>
      <c r="D23" s="5"/>
      <c r="E23" s="5"/>
      <c r="F23" s="5"/>
      <c r="G23" s="5"/>
      <c r="H23" s="5"/>
      <c r="I23" s="5"/>
      <c r="J23" s="5"/>
      <c r="K23" s="5"/>
      <c r="L23" s="5"/>
      <c r="M23" s="5"/>
      <c r="R23" s="6"/>
    </row>
    <row r="24" spans="2:19" x14ac:dyDescent="0.25">
      <c r="B24" s="5" t="s">
        <v>124</v>
      </c>
      <c r="C24" s="5"/>
      <c r="D24" s="5"/>
      <c r="E24" s="5"/>
      <c r="F24" s="5"/>
      <c r="G24" s="5"/>
      <c r="H24" s="5"/>
      <c r="I24" s="5"/>
      <c r="J24" s="5"/>
      <c r="K24" s="5"/>
      <c r="L24" s="5"/>
      <c r="M24" s="5"/>
      <c r="R24" s="6"/>
    </row>
    <row r="25" spans="2:19" x14ac:dyDescent="0.25">
      <c r="B25" s="23" t="s">
        <v>125</v>
      </c>
      <c r="C25" s="5"/>
      <c r="D25" s="5"/>
      <c r="E25" s="5"/>
      <c r="F25" s="5"/>
      <c r="G25" s="5"/>
      <c r="H25" s="5"/>
      <c r="I25" s="5"/>
      <c r="J25" s="5"/>
      <c r="K25" s="5"/>
      <c r="L25" s="5"/>
      <c r="M25" s="5"/>
      <c r="R25" s="6"/>
    </row>
    <row r="27" spans="2:19" x14ac:dyDescent="0.25">
      <c r="N27" s="20"/>
    </row>
    <row r="28" spans="2:19" x14ac:dyDescent="0.25">
      <c r="N28" s="6"/>
    </row>
    <row r="29" spans="2:19" x14ac:dyDescent="0.25">
      <c r="N29"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0252-9C32-4797-AEE0-6B4790C78DF4}">
  <dimension ref="B2:L53"/>
  <sheetViews>
    <sheetView topLeftCell="A23" workbookViewId="0">
      <selection activeCell="M46" sqref="M46"/>
    </sheetView>
  </sheetViews>
  <sheetFormatPr defaultRowHeight="15" x14ac:dyDescent="0.25"/>
  <cols>
    <col min="2" max="2" width="28.7109375" customWidth="1"/>
    <col min="3" max="3" width="11" customWidth="1"/>
    <col min="4" max="4" width="28.7109375" customWidth="1"/>
    <col min="5" max="5" width="9.7109375" customWidth="1"/>
    <col min="6" max="6" width="28.7109375" customWidth="1"/>
    <col min="7" max="7" width="9.7109375" customWidth="1"/>
    <col min="8" max="8" width="28.7109375" customWidth="1"/>
    <col min="9" max="9" width="9.7109375" customWidth="1"/>
    <col min="10" max="10" width="28.7109375" customWidth="1"/>
  </cols>
  <sheetData>
    <row r="2" spans="2:11" x14ac:dyDescent="0.25">
      <c r="D2" s="18" t="s">
        <v>130</v>
      </c>
      <c r="E2" s="18"/>
      <c r="F2" s="18"/>
      <c r="G2" s="18"/>
      <c r="H2" s="18"/>
      <c r="I2" s="18"/>
      <c r="J2" s="18"/>
      <c r="K2" s="5"/>
    </row>
    <row r="3" spans="2:11" x14ac:dyDescent="0.25">
      <c r="B3" s="27"/>
      <c r="C3" s="19" t="s">
        <v>134</v>
      </c>
      <c r="D3" s="19" t="s">
        <v>138</v>
      </c>
      <c r="E3" s="19" t="s">
        <v>142</v>
      </c>
      <c r="F3" s="19" t="s">
        <v>87</v>
      </c>
      <c r="G3" s="19" t="s">
        <v>142</v>
      </c>
      <c r="H3" s="19" t="s">
        <v>116</v>
      </c>
      <c r="I3" s="19" t="s">
        <v>142</v>
      </c>
      <c r="J3" s="19" t="s">
        <v>117</v>
      </c>
      <c r="K3" s="21" t="s">
        <v>142</v>
      </c>
    </row>
    <row r="4" spans="2:11" x14ac:dyDescent="0.25">
      <c r="B4" s="28" t="s">
        <v>108</v>
      </c>
      <c r="C4" s="19">
        <v>15</v>
      </c>
      <c r="D4" s="5">
        <v>3</v>
      </c>
      <c r="E4" s="5">
        <f>C4/100*D4</f>
        <v>0.44999999999999996</v>
      </c>
      <c r="F4" s="5">
        <v>2</v>
      </c>
      <c r="G4" s="5">
        <f>C4/100*F4</f>
        <v>0.3</v>
      </c>
      <c r="H4" s="5">
        <v>1</v>
      </c>
      <c r="I4" s="5">
        <f>C4/100*H4</f>
        <v>0.15</v>
      </c>
      <c r="J4" s="5">
        <v>1</v>
      </c>
      <c r="K4" s="5">
        <f>C4/100*J4</f>
        <v>0.15</v>
      </c>
    </row>
    <row r="5" spans="2:11" x14ac:dyDescent="0.25">
      <c r="B5" s="28" t="s">
        <v>101</v>
      </c>
      <c r="C5" s="19">
        <v>10</v>
      </c>
      <c r="D5" s="5">
        <v>3</v>
      </c>
      <c r="E5" s="5">
        <f t="shared" ref="E5:E9" si="0">C5/100*D5</f>
        <v>0.30000000000000004</v>
      </c>
      <c r="F5" s="5">
        <v>2</v>
      </c>
      <c r="G5" s="5">
        <f t="shared" ref="G5:G9" si="1">C5/100*F5</f>
        <v>0.2</v>
      </c>
      <c r="H5" s="5">
        <v>3</v>
      </c>
      <c r="I5" s="5">
        <f t="shared" ref="I5:I9" si="2">C5/100*H5</f>
        <v>0.30000000000000004</v>
      </c>
      <c r="J5" s="5">
        <v>1</v>
      </c>
      <c r="K5" s="5">
        <f t="shared" ref="K5:K9" si="3">C5/100*J5</f>
        <v>0.1</v>
      </c>
    </row>
    <row r="6" spans="2:11" x14ac:dyDescent="0.25">
      <c r="B6" s="28" t="s">
        <v>98</v>
      </c>
      <c r="C6" s="19">
        <v>25</v>
      </c>
      <c r="D6" s="5">
        <v>3</v>
      </c>
      <c r="E6" s="5">
        <f t="shared" si="0"/>
        <v>0.75</v>
      </c>
      <c r="F6" s="5">
        <v>2</v>
      </c>
      <c r="G6" s="5">
        <f t="shared" si="1"/>
        <v>0.5</v>
      </c>
      <c r="H6" s="5">
        <v>2</v>
      </c>
      <c r="I6" s="5">
        <f t="shared" si="2"/>
        <v>0.5</v>
      </c>
      <c r="J6" s="5">
        <v>2</v>
      </c>
      <c r="K6" s="5">
        <f t="shared" si="3"/>
        <v>0.5</v>
      </c>
    </row>
    <row r="7" spans="2:11" x14ac:dyDescent="0.25">
      <c r="B7" s="28" t="s">
        <v>121</v>
      </c>
      <c r="C7" s="19">
        <v>10</v>
      </c>
      <c r="D7" s="5">
        <v>3</v>
      </c>
      <c r="E7" s="5">
        <f t="shared" si="0"/>
        <v>0.30000000000000004</v>
      </c>
      <c r="F7" s="5">
        <v>2</v>
      </c>
      <c r="G7" s="5">
        <f t="shared" si="1"/>
        <v>0.2</v>
      </c>
      <c r="H7" s="5">
        <v>3</v>
      </c>
      <c r="I7" s="5">
        <f t="shared" si="2"/>
        <v>0.30000000000000004</v>
      </c>
      <c r="J7" s="5">
        <v>2</v>
      </c>
      <c r="K7" s="5">
        <f t="shared" si="3"/>
        <v>0.2</v>
      </c>
    </row>
    <row r="8" spans="2:11" x14ac:dyDescent="0.25">
      <c r="B8" s="28" t="s">
        <v>136</v>
      </c>
      <c r="C8" s="19">
        <v>20</v>
      </c>
      <c r="D8" s="5">
        <v>3</v>
      </c>
      <c r="E8" s="5">
        <f t="shared" si="0"/>
        <v>0.60000000000000009</v>
      </c>
      <c r="F8" s="5">
        <v>4</v>
      </c>
      <c r="G8" s="5">
        <f t="shared" si="1"/>
        <v>0.8</v>
      </c>
      <c r="H8" s="5">
        <v>4</v>
      </c>
      <c r="I8" s="5">
        <f t="shared" si="2"/>
        <v>0.8</v>
      </c>
      <c r="J8" s="5">
        <v>2</v>
      </c>
      <c r="K8" s="5">
        <f t="shared" si="3"/>
        <v>0.4</v>
      </c>
    </row>
    <row r="9" spans="2:11" x14ac:dyDescent="0.25">
      <c r="B9" s="28" t="s">
        <v>97</v>
      </c>
      <c r="C9" s="19">
        <v>20</v>
      </c>
      <c r="D9" s="5">
        <v>3</v>
      </c>
      <c r="E9" s="5">
        <f t="shared" si="0"/>
        <v>0.60000000000000009</v>
      </c>
      <c r="F9" s="5">
        <v>5</v>
      </c>
      <c r="G9" s="5">
        <f t="shared" si="1"/>
        <v>1</v>
      </c>
      <c r="H9" s="5">
        <v>1</v>
      </c>
      <c r="I9" s="5">
        <f t="shared" si="2"/>
        <v>0.2</v>
      </c>
      <c r="J9" s="5">
        <v>2</v>
      </c>
      <c r="K9" s="5">
        <f t="shared" si="3"/>
        <v>0.4</v>
      </c>
    </row>
    <row r="10" spans="2:11" x14ac:dyDescent="0.25">
      <c r="B10" s="28" t="s">
        <v>126</v>
      </c>
      <c r="C10" s="19">
        <f>SUM(C4:C9)</f>
        <v>100</v>
      </c>
      <c r="D10" s="26"/>
      <c r="E10" s="26"/>
      <c r="F10" s="26"/>
      <c r="G10" s="26"/>
      <c r="H10" s="26"/>
      <c r="I10" s="26"/>
      <c r="J10" s="26"/>
      <c r="K10" s="26"/>
    </row>
    <row r="11" spans="2:11" x14ac:dyDescent="0.25">
      <c r="B11" s="42" t="s">
        <v>127</v>
      </c>
      <c r="C11" s="43"/>
      <c r="D11" s="38">
        <f>SUM(E4:E9)</f>
        <v>3.0000000000000004</v>
      </c>
      <c r="E11" s="39"/>
      <c r="F11" s="38">
        <f>SUM(G4:G9)</f>
        <v>3</v>
      </c>
      <c r="G11" s="39"/>
      <c r="H11" s="38">
        <f>SUM(I4:I9)</f>
        <v>2.25</v>
      </c>
      <c r="I11" s="39"/>
      <c r="J11" s="38">
        <f>SUM(K4:K9)</f>
        <v>1.75</v>
      </c>
      <c r="K11" s="39"/>
    </row>
    <row r="12" spans="2:11" x14ac:dyDescent="0.25">
      <c r="B12" s="42" t="s">
        <v>128</v>
      </c>
      <c r="C12" s="43"/>
      <c r="D12" s="38" t="s">
        <v>143</v>
      </c>
      <c r="E12" s="39"/>
      <c r="F12" s="38" t="s">
        <v>143</v>
      </c>
      <c r="G12" s="39"/>
      <c r="H12" s="38" t="s">
        <v>144</v>
      </c>
      <c r="I12" s="39"/>
      <c r="J12" s="38" t="s">
        <v>145</v>
      </c>
      <c r="K12" s="39"/>
    </row>
    <row r="13" spans="2:11" x14ac:dyDescent="0.25">
      <c r="B13" s="42" t="s">
        <v>129</v>
      </c>
      <c r="C13" s="43"/>
      <c r="D13" s="38" t="s">
        <v>146</v>
      </c>
      <c r="E13" s="39"/>
      <c r="F13" s="38" t="s">
        <v>146</v>
      </c>
      <c r="G13" s="39"/>
      <c r="H13" s="38" t="s">
        <v>147</v>
      </c>
      <c r="I13" s="39"/>
      <c r="J13" s="38" t="s">
        <v>147</v>
      </c>
      <c r="K13" s="39"/>
    </row>
    <row r="14" spans="2:11" x14ac:dyDescent="0.25">
      <c r="B14" s="20"/>
      <c r="C14" s="20"/>
      <c r="D14" s="6"/>
      <c r="E14" s="6"/>
      <c r="F14" s="6"/>
      <c r="G14" s="6"/>
      <c r="H14" s="6"/>
      <c r="I14" s="6"/>
      <c r="J14" s="6"/>
    </row>
    <row r="15" spans="2:11" x14ac:dyDescent="0.25">
      <c r="D15" s="41" t="s">
        <v>131</v>
      </c>
      <c r="E15" s="41"/>
      <c r="F15" s="41"/>
      <c r="G15" s="41"/>
      <c r="H15" s="41"/>
      <c r="I15" s="41"/>
      <c r="J15" s="24"/>
      <c r="K15" s="24"/>
    </row>
    <row r="16" spans="2:11" x14ac:dyDescent="0.25">
      <c r="B16" s="27"/>
      <c r="C16" s="19" t="s">
        <v>134</v>
      </c>
      <c r="D16" s="19" t="s">
        <v>139</v>
      </c>
      <c r="E16" s="19" t="s">
        <v>142</v>
      </c>
      <c r="F16" s="19" t="s">
        <v>119</v>
      </c>
      <c r="G16" s="19" t="s">
        <v>142</v>
      </c>
      <c r="H16" s="19" t="s">
        <v>122</v>
      </c>
      <c r="I16" s="19" t="s">
        <v>142</v>
      </c>
      <c r="J16" s="20"/>
      <c r="K16" s="25"/>
    </row>
    <row r="17" spans="2:12" x14ac:dyDescent="0.25">
      <c r="B17" s="28" t="s">
        <v>108</v>
      </c>
      <c r="C17" s="19">
        <v>10</v>
      </c>
      <c r="D17" s="5">
        <v>3</v>
      </c>
      <c r="E17" s="5">
        <f>C17/100*D17</f>
        <v>0.30000000000000004</v>
      </c>
      <c r="F17" s="5">
        <v>1</v>
      </c>
      <c r="G17" s="5">
        <f>C17/100*F17</f>
        <v>0.1</v>
      </c>
      <c r="H17" s="5">
        <v>3</v>
      </c>
      <c r="I17" s="5">
        <f>C17/100*H17</f>
        <v>0.30000000000000004</v>
      </c>
      <c r="J17" s="6"/>
      <c r="K17" s="6"/>
    </row>
    <row r="18" spans="2:12" x14ac:dyDescent="0.25">
      <c r="B18" s="28" t="s">
        <v>101</v>
      </c>
      <c r="C18" s="19">
        <v>5</v>
      </c>
      <c r="D18" s="5">
        <v>3</v>
      </c>
      <c r="E18" s="5">
        <f t="shared" ref="E18:E22" si="4">C18/100*D18</f>
        <v>0.15000000000000002</v>
      </c>
      <c r="F18" s="5">
        <v>3</v>
      </c>
      <c r="G18" s="5">
        <f t="shared" ref="G18:G22" si="5">C18/100*F18</f>
        <v>0.15000000000000002</v>
      </c>
      <c r="H18" s="5">
        <v>4</v>
      </c>
      <c r="I18" s="5">
        <f t="shared" ref="I18:I22" si="6">C18/100*H18</f>
        <v>0.2</v>
      </c>
      <c r="J18" s="6"/>
      <c r="K18" s="6"/>
    </row>
    <row r="19" spans="2:12" x14ac:dyDescent="0.25">
      <c r="B19" s="28" t="s">
        <v>98</v>
      </c>
      <c r="C19" s="19">
        <v>15</v>
      </c>
      <c r="D19" s="5">
        <v>3</v>
      </c>
      <c r="E19" s="5">
        <f t="shared" si="4"/>
        <v>0.44999999999999996</v>
      </c>
      <c r="F19" s="5">
        <v>2</v>
      </c>
      <c r="G19" s="5">
        <f t="shared" si="5"/>
        <v>0.3</v>
      </c>
      <c r="H19" s="5">
        <v>4</v>
      </c>
      <c r="I19" s="5">
        <f t="shared" si="6"/>
        <v>0.6</v>
      </c>
      <c r="J19" s="6"/>
      <c r="K19" s="6"/>
    </row>
    <row r="20" spans="2:12" x14ac:dyDescent="0.25">
      <c r="B20" s="28" t="s">
        <v>121</v>
      </c>
      <c r="C20" s="19">
        <v>5</v>
      </c>
      <c r="D20" s="5">
        <v>3</v>
      </c>
      <c r="E20" s="5">
        <f t="shared" si="4"/>
        <v>0.15000000000000002</v>
      </c>
      <c r="F20" s="5">
        <v>1</v>
      </c>
      <c r="G20" s="5">
        <f t="shared" si="5"/>
        <v>0.05</v>
      </c>
      <c r="H20" s="5">
        <v>2</v>
      </c>
      <c r="I20" s="5">
        <f t="shared" si="6"/>
        <v>0.1</v>
      </c>
      <c r="J20" s="6"/>
      <c r="K20" s="6"/>
    </row>
    <row r="21" spans="2:12" x14ac:dyDescent="0.25">
      <c r="B21" s="28" t="s">
        <v>107</v>
      </c>
      <c r="C21" s="19">
        <v>25</v>
      </c>
      <c r="D21" s="5">
        <v>3</v>
      </c>
      <c r="E21" s="5">
        <f t="shared" si="4"/>
        <v>0.75</v>
      </c>
      <c r="F21" s="5">
        <v>2</v>
      </c>
      <c r="G21" s="5">
        <f t="shared" si="5"/>
        <v>0.5</v>
      </c>
      <c r="H21" s="5">
        <v>2</v>
      </c>
      <c r="I21" s="5">
        <f t="shared" si="6"/>
        <v>0.5</v>
      </c>
      <c r="J21" s="6"/>
      <c r="K21" s="6"/>
    </row>
    <row r="22" spans="2:12" x14ac:dyDescent="0.25">
      <c r="B22" s="28" t="s">
        <v>137</v>
      </c>
      <c r="C22" s="19">
        <v>40</v>
      </c>
      <c r="D22" s="5">
        <v>3</v>
      </c>
      <c r="E22" s="5">
        <f t="shared" si="4"/>
        <v>1.2000000000000002</v>
      </c>
      <c r="F22" s="5">
        <v>2</v>
      </c>
      <c r="G22" s="5">
        <f t="shared" si="5"/>
        <v>0.8</v>
      </c>
      <c r="H22" s="5">
        <v>2</v>
      </c>
      <c r="I22" s="5">
        <f t="shared" si="6"/>
        <v>0.8</v>
      </c>
    </row>
    <row r="23" spans="2:12" x14ac:dyDescent="0.25">
      <c r="B23" s="28" t="s">
        <v>126</v>
      </c>
      <c r="C23" s="19">
        <f>SUM(C17:C22)</f>
        <v>100</v>
      </c>
      <c r="D23" s="26"/>
      <c r="E23" s="26"/>
      <c r="F23" s="26"/>
      <c r="G23" s="26"/>
      <c r="H23" s="26"/>
      <c r="I23" s="26"/>
      <c r="J23" s="25"/>
      <c r="K23" s="6"/>
      <c r="L23" s="6"/>
    </row>
    <row r="24" spans="2:12" x14ac:dyDescent="0.25">
      <c r="B24" s="42" t="s">
        <v>127</v>
      </c>
      <c r="C24" s="43"/>
      <c r="D24" s="41">
        <f>SUM(E17:E22)</f>
        <v>3</v>
      </c>
      <c r="E24" s="41"/>
      <c r="F24" s="41">
        <f t="shared" ref="F24" si="7">SUM(G17:G22)</f>
        <v>1.9000000000000001</v>
      </c>
      <c r="G24" s="41"/>
      <c r="H24" s="41">
        <f t="shared" ref="H24" si="8">SUM(I17:I22)</f>
        <v>2.5</v>
      </c>
      <c r="I24" s="41"/>
      <c r="J24" s="24"/>
      <c r="K24" s="24"/>
    </row>
    <row r="25" spans="2:12" x14ac:dyDescent="0.25">
      <c r="B25" s="42" t="s">
        <v>128</v>
      </c>
      <c r="C25" s="43"/>
      <c r="D25" s="41" t="s">
        <v>143</v>
      </c>
      <c r="E25" s="41"/>
      <c r="F25" s="41" t="s">
        <v>145</v>
      </c>
      <c r="G25" s="41"/>
      <c r="H25" s="41" t="s">
        <v>144</v>
      </c>
      <c r="I25" s="41"/>
      <c r="J25" s="24"/>
      <c r="K25" s="24"/>
    </row>
    <row r="26" spans="2:12" x14ac:dyDescent="0.25">
      <c r="B26" s="42" t="s">
        <v>129</v>
      </c>
      <c r="C26" s="43"/>
      <c r="D26" s="41" t="s">
        <v>148</v>
      </c>
      <c r="E26" s="41"/>
      <c r="F26" s="41" t="s">
        <v>147</v>
      </c>
      <c r="G26" s="41"/>
      <c r="H26" s="41" t="s">
        <v>147</v>
      </c>
      <c r="I26" s="41"/>
      <c r="J26" s="24"/>
      <c r="K26" s="24"/>
    </row>
    <row r="28" spans="2:12" x14ac:dyDescent="0.25">
      <c r="D28" s="38" t="s">
        <v>132</v>
      </c>
      <c r="E28" s="44"/>
      <c r="F28" s="44"/>
      <c r="G28" s="44"/>
      <c r="H28" s="44"/>
      <c r="I28" s="39"/>
    </row>
    <row r="29" spans="2:12" x14ac:dyDescent="0.25">
      <c r="B29" s="27"/>
      <c r="C29" s="19" t="s">
        <v>134</v>
      </c>
      <c r="D29" s="19" t="s">
        <v>141</v>
      </c>
      <c r="E29" s="19" t="s">
        <v>142</v>
      </c>
      <c r="F29" s="19" t="s">
        <v>111</v>
      </c>
      <c r="G29" s="19" t="s">
        <v>142</v>
      </c>
      <c r="H29" s="19" t="s">
        <v>110</v>
      </c>
      <c r="I29" s="19" t="s">
        <v>142</v>
      </c>
    </row>
    <row r="30" spans="2:12" x14ac:dyDescent="0.25">
      <c r="B30" s="28" t="s">
        <v>108</v>
      </c>
      <c r="C30" s="19">
        <v>10</v>
      </c>
      <c r="D30" s="5">
        <v>3</v>
      </c>
      <c r="E30" s="5">
        <f>C30/100*D30</f>
        <v>0.30000000000000004</v>
      </c>
      <c r="F30" s="5">
        <v>4</v>
      </c>
      <c r="G30" s="5">
        <f>C30/100*F30</f>
        <v>0.4</v>
      </c>
      <c r="H30" s="5">
        <v>4</v>
      </c>
      <c r="I30" s="5">
        <f>C30/100*H30</f>
        <v>0.4</v>
      </c>
    </row>
    <row r="31" spans="2:12" x14ac:dyDescent="0.25">
      <c r="B31" s="28" t="s">
        <v>101</v>
      </c>
      <c r="C31" s="19">
        <v>10</v>
      </c>
      <c r="D31" s="5">
        <v>3</v>
      </c>
      <c r="E31" s="5">
        <f t="shared" ref="E31:E36" si="9">C31/100*D31</f>
        <v>0.30000000000000004</v>
      </c>
      <c r="F31" s="5">
        <v>5</v>
      </c>
      <c r="G31" s="5">
        <f t="shared" ref="G31:G36" si="10">C31/100*F31</f>
        <v>0.5</v>
      </c>
      <c r="H31" s="5">
        <v>5</v>
      </c>
      <c r="I31" s="5">
        <f t="shared" ref="I31:I36" si="11">C31/100*H31</f>
        <v>0.5</v>
      </c>
      <c r="J31" s="29"/>
    </row>
    <row r="32" spans="2:12" x14ac:dyDescent="0.25">
      <c r="B32" s="28" t="s">
        <v>107</v>
      </c>
      <c r="C32" s="19">
        <v>25</v>
      </c>
      <c r="D32" s="5">
        <v>3</v>
      </c>
      <c r="E32" s="5">
        <f t="shared" si="9"/>
        <v>0.75</v>
      </c>
      <c r="F32" s="5">
        <v>4</v>
      </c>
      <c r="G32" s="5">
        <f t="shared" si="10"/>
        <v>1</v>
      </c>
      <c r="H32" s="5">
        <v>3</v>
      </c>
      <c r="I32" s="5">
        <f t="shared" si="11"/>
        <v>0.75</v>
      </c>
      <c r="J32" s="29"/>
    </row>
    <row r="33" spans="2:10" x14ac:dyDescent="0.25">
      <c r="B33" s="28" t="s">
        <v>121</v>
      </c>
      <c r="C33" s="19">
        <v>5</v>
      </c>
      <c r="D33" s="5">
        <v>3</v>
      </c>
      <c r="E33" s="5">
        <f t="shared" si="9"/>
        <v>0.15000000000000002</v>
      </c>
      <c r="F33" s="5">
        <v>4</v>
      </c>
      <c r="G33" s="5">
        <f t="shared" si="10"/>
        <v>0.2</v>
      </c>
      <c r="H33" s="5">
        <v>5</v>
      </c>
      <c r="I33" s="5">
        <f t="shared" si="11"/>
        <v>0.25</v>
      </c>
      <c r="J33" s="29"/>
    </row>
    <row r="34" spans="2:10" x14ac:dyDescent="0.25">
      <c r="B34" s="30" t="s">
        <v>112</v>
      </c>
      <c r="C34" s="19">
        <v>20</v>
      </c>
      <c r="D34" s="5">
        <v>3</v>
      </c>
      <c r="E34" s="5">
        <f t="shared" si="9"/>
        <v>0.60000000000000009</v>
      </c>
      <c r="F34" s="5">
        <v>3</v>
      </c>
      <c r="G34" s="5">
        <f t="shared" si="10"/>
        <v>0.60000000000000009</v>
      </c>
      <c r="H34" s="5">
        <v>2</v>
      </c>
      <c r="I34" s="5">
        <f t="shared" si="11"/>
        <v>0.4</v>
      </c>
      <c r="J34" s="29"/>
    </row>
    <row r="35" spans="2:10" x14ac:dyDescent="0.25">
      <c r="B35" s="30" t="s">
        <v>113</v>
      </c>
      <c r="C35" s="19">
        <v>15</v>
      </c>
      <c r="D35" s="5">
        <v>3</v>
      </c>
      <c r="E35" s="5">
        <f t="shared" si="9"/>
        <v>0.44999999999999996</v>
      </c>
      <c r="F35" s="5">
        <v>4</v>
      </c>
      <c r="G35" s="5">
        <f t="shared" si="10"/>
        <v>0.6</v>
      </c>
      <c r="H35" s="5">
        <v>2</v>
      </c>
      <c r="I35" s="5">
        <f t="shared" si="11"/>
        <v>0.3</v>
      </c>
      <c r="J35" s="29"/>
    </row>
    <row r="36" spans="2:10" x14ac:dyDescent="0.25">
      <c r="B36" s="30" t="s">
        <v>114</v>
      </c>
      <c r="C36" s="19">
        <v>15</v>
      </c>
      <c r="D36" s="5">
        <v>3</v>
      </c>
      <c r="E36" s="5">
        <f t="shared" si="9"/>
        <v>0.44999999999999996</v>
      </c>
      <c r="F36" s="5">
        <v>5</v>
      </c>
      <c r="G36" s="5">
        <f t="shared" si="10"/>
        <v>0.75</v>
      </c>
      <c r="H36" s="5">
        <v>3</v>
      </c>
      <c r="I36" s="5">
        <f t="shared" si="11"/>
        <v>0.44999999999999996</v>
      </c>
      <c r="J36" s="29"/>
    </row>
    <row r="37" spans="2:10" x14ac:dyDescent="0.25">
      <c r="B37" s="28" t="s">
        <v>126</v>
      </c>
      <c r="C37" s="19">
        <f>SUM(C30:C36)</f>
        <v>100</v>
      </c>
      <c r="D37" s="26"/>
      <c r="E37" s="26"/>
      <c r="F37" s="26"/>
      <c r="G37" s="26"/>
      <c r="H37" s="26"/>
      <c r="I37" s="26"/>
      <c r="J37" s="29"/>
    </row>
    <row r="38" spans="2:10" x14ac:dyDescent="0.25">
      <c r="B38" s="42" t="s">
        <v>127</v>
      </c>
      <c r="C38" s="43"/>
      <c r="D38" s="38">
        <f>SUM(E30:E36)</f>
        <v>3</v>
      </c>
      <c r="E38" s="39"/>
      <c r="F38" s="38">
        <f t="shared" ref="F38" si="12">SUM(G30:G36)</f>
        <v>4.0500000000000007</v>
      </c>
      <c r="G38" s="39"/>
      <c r="H38" s="38">
        <f t="shared" ref="H38" si="13">SUM(I30:I36)</f>
        <v>3.05</v>
      </c>
      <c r="I38" s="39"/>
    </row>
    <row r="39" spans="2:10" x14ac:dyDescent="0.25">
      <c r="B39" s="42" t="s">
        <v>128</v>
      </c>
      <c r="C39" s="43"/>
      <c r="D39" s="38" t="s">
        <v>145</v>
      </c>
      <c r="E39" s="39"/>
      <c r="F39" s="38" t="s">
        <v>143</v>
      </c>
      <c r="G39" s="39"/>
      <c r="H39" s="38" t="s">
        <v>144</v>
      </c>
      <c r="I39" s="39"/>
      <c r="J39" s="25"/>
    </row>
    <row r="40" spans="2:10" x14ac:dyDescent="0.25">
      <c r="B40" s="42" t="s">
        <v>129</v>
      </c>
      <c r="C40" s="43"/>
      <c r="D40" s="38" t="s">
        <v>147</v>
      </c>
      <c r="E40" s="39"/>
      <c r="F40" s="38" t="s">
        <v>148</v>
      </c>
      <c r="G40" s="39"/>
      <c r="H40" s="38" t="s">
        <v>149</v>
      </c>
      <c r="I40" s="39"/>
      <c r="J40" s="22"/>
    </row>
    <row r="41" spans="2:10" x14ac:dyDescent="0.25">
      <c r="J41" s="22"/>
    </row>
    <row r="42" spans="2:10" x14ac:dyDescent="0.25">
      <c r="D42" s="38" t="s">
        <v>133</v>
      </c>
      <c r="E42" s="44"/>
      <c r="F42" s="44"/>
      <c r="G42" s="44"/>
      <c r="H42" s="44"/>
      <c r="I42" s="39"/>
      <c r="J42" s="22"/>
    </row>
    <row r="43" spans="2:10" x14ac:dyDescent="0.25">
      <c r="B43" s="27"/>
      <c r="C43" s="19" t="s">
        <v>134</v>
      </c>
      <c r="D43" s="19" t="s">
        <v>140</v>
      </c>
      <c r="E43" s="19" t="s">
        <v>142</v>
      </c>
      <c r="F43" s="19" t="s">
        <v>123</v>
      </c>
      <c r="G43" s="19" t="s">
        <v>142</v>
      </c>
      <c r="H43" s="19" t="s">
        <v>125</v>
      </c>
      <c r="I43" s="19" t="s">
        <v>142</v>
      </c>
      <c r="J43" s="22"/>
    </row>
    <row r="44" spans="2:10" x14ac:dyDescent="0.25">
      <c r="B44" s="28" t="s">
        <v>108</v>
      </c>
      <c r="C44" s="19">
        <v>10</v>
      </c>
      <c r="D44" s="5">
        <v>3</v>
      </c>
      <c r="E44" s="5">
        <f>C44/100*D44</f>
        <v>0.30000000000000004</v>
      </c>
      <c r="F44" s="5">
        <v>1</v>
      </c>
      <c r="G44" s="5">
        <f>C44/100*F44</f>
        <v>0.1</v>
      </c>
      <c r="H44" s="5">
        <v>4</v>
      </c>
      <c r="I44" s="5">
        <f>C44/100*H44</f>
        <v>0.4</v>
      </c>
      <c r="J44" s="22"/>
    </row>
    <row r="45" spans="2:10" x14ac:dyDescent="0.25">
      <c r="B45" s="28" t="s">
        <v>100</v>
      </c>
      <c r="C45" s="19">
        <v>5</v>
      </c>
      <c r="D45" s="5">
        <v>3</v>
      </c>
      <c r="E45" s="5">
        <f t="shared" ref="E45:E49" si="14">C45/100*D45</f>
        <v>0.15000000000000002</v>
      </c>
      <c r="F45" s="5">
        <v>3</v>
      </c>
      <c r="G45" s="5">
        <f t="shared" ref="G45:G49" si="15">C45/100*F45</f>
        <v>0.15000000000000002</v>
      </c>
      <c r="H45" s="5">
        <v>4</v>
      </c>
      <c r="I45" s="5">
        <f t="shared" ref="I45:I49" si="16">C45/100*H45</f>
        <v>0.2</v>
      </c>
      <c r="J45" s="22"/>
    </row>
    <row r="46" spans="2:10" x14ac:dyDescent="0.25">
      <c r="B46" s="28" t="s">
        <v>98</v>
      </c>
      <c r="C46" s="19">
        <v>15</v>
      </c>
      <c r="D46" s="5">
        <v>3</v>
      </c>
      <c r="E46" s="5">
        <f t="shared" si="14"/>
        <v>0.44999999999999996</v>
      </c>
      <c r="F46" s="5">
        <v>4</v>
      </c>
      <c r="G46" s="5">
        <f t="shared" si="15"/>
        <v>0.6</v>
      </c>
      <c r="H46" s="5">
        <v>5</v>
      </c>
      <c r="I46" s="5">
        <f t="shared" si="16"/>
        <v>0.75</v>
      </c>
      <c r="J46" s="22"/>
    </row>
    <row r="47" spans="2:10" x14ac:dyDescent="0.25">
      <c r="B47" s="28" t="s">
        <v>121</v>
      </c>
      <c r="C47" s="19">
        <v>5</v>
      </c>
      <c r="D47" s="5">
        <v>3</v>
      </c>
      <c r="E47" s="5">
        <f t="shared" si="14"/>
        <v>0.15000000000000002</v>
      </c>
      <c r="F47" s="5">
        <v>3</v>
      </c>
      <c r="G47" s="5">
        <f t="shared" si="15"/>
        <v>0.15000000000000002</v>
      </c>
      <c r="H47" s="5">
        <v>4</v>
      </c>
      <c r="I47" s="5">
        <f t="shared" si="16"/>
        <v>0.2</v>
      </c>
      <c r="J47" s="22"/>
    </row>
    <row r="48" spans="2:10" x14ac:dyDescent="0.25">
      <c r="B48" s="28" t="s">
        <v>107</v>
      </c>
      <c r="C48" s="19">
        <v>25</v>
      </c>
      <c r="D48" s="5">
        <v>3</v>
      </c>
      <c r="E48" s="5">
        <f t="shared" si="14"/>
        <v>0.75</v>
      </c>
      <c r="F48" s="5">
        <v>4</v>
      </c>
      <c r="G48" s="5">
        <f t="shared" si="15"/>
        <v>1</v>
      </c>
      <c r="H48" s="5">
        <v>2</v>
      </c>
      <c r="I48" s="5">
        <f t="shared" si="16"/>
        <v>0.5</v>
      </c>
      <c r="J48" s="22"/>
    </row>
    <row r="49" spans="2:10" x14ac:dyDescent="0.25">
      <c r="B49" s="30" t="s">
        <v>135</v>
      </c>
      <c r="C49" s="19">
        <v>40</v>
      </c>
      <c r="D49" s="5">
        <v>3</v>
      </c>
      <c r="E49" s="5">
        <f t="shared" si="14"/>
        <v>1.2000000000000002</v>
      </c>
      <c r="F49" s="5">
        <v>5</v>
      </c>
      <c r="G49" s="5">
        <f t="shared" si="15"/>
        <v>2</v>
      </c>
      <c r="H49" s="5">
        <v>1</v>
      </c>
      <c r="I49" s="5">
        <f t="shared" si="16"/>
        <v>0.4</v>
      </c>
      <c r="J49" s="22"/>
    </row>
    <row r="50" spans="2:10" x14ac:dyDescent="0.25">
      <c r="B50" s="28" t="s">
        <v>126</v>
      </c>
      <c r="C50" s="19">
        <f>SUM(C44:C49)</f>
        <v>100</v>
      </c>
      <c r="D50" s="26"/>
      <c r="E50" s="26"/>
      <c r="F50" s="26"/>
      <c r="G50" s="26"/>
      <c r="H50" s="26"/>
      <c r="I50" s="26"/>
    </row>
    <row r="51" spans="2:10" x14ac:dyDescent="0.25">
      <c r="B51" s="42" t="s">
        <v>127</v>
      </c>
      <c r="C51" s="43"/>
      <c r="D51" s="38">
        <f>SUM(E44:E49)</f>
        <v>3</v>
      </c>
      <c r="E51" s="39"/>
      <c r="F51" s="38">
        <f t="shared" ref="F51" si="17">SUM(G44:G49)</f>
        <v>4</v>
      </c>
      <c r="G51" s="39"/>
      <c r="H51" s="38">
        <f t="shared" ref="H51" si="18">SUM(I44:I49)</f>
        <v>2.4499999999999997</v>
      </c>
      <c r="I51" s="39"/>
    </row>
    <row r="52" spans="2:10" x14ac:dyDescent="0.25">
      <c r="B52" s="42" t="s">
        <v>128</v>
      </c>
      <c r="C52" s="43"/>
      <c r="D52" s="38" t="s">
        <v>144</v>
      </c>
      <c r="E52" s="39"/>
      <c r="F52" s="38" t="s">
        <v>143</v>
      </c>
      <c r="G52" s="39"/>
      <c r="H52" s="38" t="s">
        <v>145</v>
      </c>
      <c r="I52" s="39"/>
    </row>
    <row r="53" spans="2:10" x14ac:dyDescent="0.25">
      <c r="B53" s="42" t="s">
        <v>129</v>
      </c>
      <c r="C53" s="43"/>
      <c r="D53" s="38" t="s">
        <v>147</v>
      </c>
      <c r="E53" s="39"/>
      <c r="F53" s="38" t="s">
        <v>148</v>
      </c>
      <c r="G53" s="39"/>
      <c r="H53" s="38" t="s">
        <v>147</v>
      </c>
      <c r="I53" s="39"/>
    </row>
  </sheetData>
  <mergeCells count="54">
    <mergeCell ref="B13:C13"/>
    <mergeCell ref="B12:C12"/>
    <mergeCell ref="B11:C11"/>
    <mergeCell ref="B26:C26"/>
    <mergeCell ref="B25:C25"/>
    <mergeCell ref="D42:I42"/>
    <mergeCell ref="D28:I28"/>
    <mergeCell ref="H40:I40"/>
    <mergeCell ref="B24:C24"/>
    <mergeCell ref="B39:C39"/>
    <mergeCell ref="B38:C38"/>
    <mergeCell ref="B40:C40"/>
    <mergeCell ref="H51:I51"/>
    <mergeCell ref="H52:I52"/>
    <mergeCell ref="H53:I53"/>
    <mergeCell ref="B51:C51"/>
    <mergeCell ref="B52:C52"/>
    <mergeCell ref="B53:C53"/>
    <mergeCell ref="D51:E51"/>
    <mergeCell ref="D52:E52"/>
    <mergeCell ref="D53:E53"/>
    <mergeCell ref="F51:G51"/>
    <mergeCell ref="F52:G52"/>
    <mergeCell ref="F53:G53"/>
    <mergeCell ref="F38:G38"/>
    <mergeCell ref="F39:G39"/>
    <mergeCell ref="F40:G40"/>
    <mergeCell ref="D38:E38"/>
    <mergeCell ref="D39:E39"/>
    <mergeCell ref="D40:E40"/>
    <mergeCell ref="H24:I24"/>
    <mergeCell ref="H25:I25"/>
    <mergeCell ref="H26:I26"/>
    <mergeCell ref="H39:I39"/>
    <mergeCell ref="H38:I38"/>
    <mergeCell ref="F24:G24"/>
    <mergeCell ref="F25:G25"/>
    <mergeCell ref="F26:G26"/>
    <mergeCell ref="D24:E24"/>
    <mergeCell ref="D25:E25"/>
    <mergeCell ref="D26:E26"/>
    <mergeCell ref="J13:K13"/>
    <mergeCell ref="J12:K12"/>
    <mergeCell ref="J11:K11"/>
    <mergeCell ref="H11:I11"/>
    <mergeCell ref="H12:I12"/>
    <mergeCell ref="H13:I13"/>
    <mergeCell ref="D15:I15"/>
    <mergeCell ref="F11:G11"/>
    <mergeCell ref="F12:G12"/>
    <mergeCell ref="F13:G13"/>
    <mergeCell ref="D11:E11"/>
    <mergeCell ref="D12:E12"/>
    <mergeCell ref="D13: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Planned CDR Schedule</vt:lpstr>
      <vt:lpstr>Planned Post-CDR Schedule</vt:lpstr>
      <vt:lpstr>Actual Schedule</vt:lpstr>
      <vt:lpstr>Trade-Offs</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2020-04-10T16:47:34Z</dcterms:created>
  <dcterms:modified xsi:type="dcterms:W3CDTF">2020-04-14T12:19:37Z</dcterms:modified>
</cp:coreProperties>
</file>